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615" windowHeight="6855" firstSheet="6" activeTab="7"/>
  </bookViews>
  <sheets>
    <sheet name="MAX&amp;MIN" sheetId="1" r:id="rId1"/>
    <sheet name="IF-Family" sheetId="2" r:id="rId2"/>
    <sheet name="LENGTH" sheetId="3" r:id="rId3"/>
    <sheet name="LEFT&amp;RIGHT" sheetId="4" r:id="rId4"/>
    <sheet name="DATE TO TEXT" sheetId="5" r:id="rId5"/>
    <sheet name="TRIM" sheetId="6" r:id="rId6"/>
    <sheet name="CONCATENATE" sheetId="7" r:id="rId7"/>
    <sheet name="SUBSTITUTE" sheetId="8" r:id="rId8"/>
    <sheet name="Sheet9" sheetId="9" r:id="rId9"/>
    <sheet name="Sheet10" sheetId="10" r:id="rId10"/>
    <sheet name="Sheet11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<sst xmlns="http://schemas.openxmlformats.org/spreadsheetml/2006/main" count="513" uniqueCount="52">
  <si>
    <t>EmployeeID</t>
  </si>
  <si>
    <t>First Name</t>
  </si>
  <si>
    <t>Last Name</t>
  </si>
  <si>
    <t>Age</t>
  </si>
  <si>
    <t>Gender</t>
  </si>
  <si>
    <t>Job Title</t>
  </si>
  <si>
    <t>Salary</t>
  </si>
  <si>
    <t>Start Date</t>
  </si>
  <si>
    <t>End Date</t>
  </si>
  <si>
    <t>Max Salary(Using MAX() ).</t>
  </si>
  <si>
    <t>Min. Salary(Using MIN() )</t>
  </si>
  <si>
    <t>Felix</t>
  </si>
  <si>
    <t>Parker</t>
  </si>
  <si>
    <t>Male</t>
  </si>
  <si>
    <t>Salesperson</t>
  </si>
  <si>
    <t>Patience</t>
  </si>
  <si>
    <t>Williams</t>
  </si>
  <si>
    <t>Female</t>
  </si>
  <si>
    <t>Receptionist</t>
  </si>
  <si>
    <t>Amos</t>
  </si>
  <si>
    <t>Alfred</t>
  </si>
  <si>
    <t>Deborah</t>
  </si>
  <si>
    <t>Palmer</t>
  </si>
  <si>
    <t>Accountant</t>
  </si>
  <si>
    <t>Praise</t>
  </si>
  <si>
    <t>Cole</t>
  </si>
  <si>
    <t>HR</t>
  </si>
  <si>
    <t>John</t>
  </si>
  <si>
    <t>Hudson</t>
  </si>
  <si>
    <t>Regional Manager</t>
  </si>
  <si>
    <t>Peace</t>
  </si>
  <si>
    <t>Beasley</t>
  </si>
  <si>
    <t>Supplier Relations</t>
  </si>
  <si>
    <t>Martins</t>
  </si>
  <si>
    <t>MAlone</t>
  </si>
  <si>
    <t>Scott</t>
  </si>
  <si>
    <t>Halpert</t>
  </si>
  <si>
    <t>Age Bracket(Using IF)</t>
  </si>
  <si>
    <t>Department(Using IFS)</t>
  </si>
  <si>
    <t>Length of String</t>
  </si>
  <si>
    <t>LEFT(First 3 letters of the First Name from the left)</t>
  </si>
  <si>
    <t>RIGHT(First 3 letters of the Last Name from the right)</t>
  </si>
  <si>
    <t>Date To Text</t>
  </si>
  <si>
    <t>TRIM(It takes away whitespaces)</t>
  </si>
  <si>
    <t xml:space="preserve">   Felix</t>
  </si>
  <si>
    <t xml:space="preserve">Deborah        </t>
  </si>
  <si>
    <t xml:space="preserve">Peace       </t>
  </si>
  <si>
    <t>CONCATENATE(fullName)</t>
  </si>
  <si>
    <t>CONC(Email)</t>
  </si>
  <si>
    <t>SUBSTITUTE(for Start Date)-1 Instance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</si>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</sst>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58" fontId="0" fillId="0" borderId="0" xfId="0" applyNumberFormat="1" applyAlignment="1">
      <alignment horizontal="center"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58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opLeftCell="C1" workbookViewId="0">
      <selection activeCell="K3" sqref="K3"/>
    </sheetView>
  </sheetViews>
  <sheetFormatPr defaultColWidth="9.14285714285714" defaultRowHeight="15"/>
  <cols>
    <col min="1" max="1" width="12.5714285714286" customWidth="1"/>
    <col min="2" max="2" width="11.2857142857143" style="1" customWidth="1"/>
    <col min="3" max="3" width="11.1428571428571" style="1" customWidth="1"/>
    <col min="4" max="4" width="5" customWidth="1"/>
    <col min="5" max="5" width="9.14285714285714" style="1"/>
    <col min="6" max="6" width="18.7142857142857" style="1" customWidth="1"/>
    <col min="7" max="7" width="9.14285714285714" style="1"/>
    <col min="8" max="8" width="10.2857142857143" style="1" customWidth="1"/>
    <col min="9" max="9" width="11.4285714285714" style="1" customWidth="1"/>
    <col min="10" max="10" width="25.8571428571429" style="1" customWidth="1"/>
    <col min="11" max="11" width="25.7142857142857" style="1" customWidth="1"/>
  </cols>
  <sheetData>
    <row r="1" s="7" customFormat="1" ht="16" customHeight="1" spans="1:11">
      <c r="A1" s="7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>
      <c r="A2" s="2">
        <v>1001</v>
      </c>
      <c r="B2" s="3" t="s">
        <v>11</v>
      </c>
      <c r="C2" s="1" t="s">
        <v>12</v>
      </c>
      <c r="D2" s="1">
        <v>30</v>
      </c>
      <c r="E2" s="1" t="s">
        <v>13</v>
      </c>
      <c r="F2" s="1" t="s">
        <v>14</v>
      </c>
      <c r="G2" s="1">
        <v>45000</v>
      </c>
      <c r="H2" s="4">
        <v>37197</v>
      </c>
      <c r="I2" s="4">
        <v>42253</v>
      </c>
      <c r="J2" s="16">
        <f>MAX(G2:G10)</f>
        <v>65000</v>
      </c>
      <c r="K2" s="1">
        <f>MIN(G2:G10)</f>
        <v>36000</v>
      </c>
    </row>
    <row r="3" spans="1:9">
      <c r="A3" s="2">
        <v>1002</v>
      </c>
      <c r="B3" s="1" t="s">
        <v>15</v>
      </c>
      <c r="C3" s="1" t="s">
        <v>16</v>
      </c>
      <c r="D3" s="1">
        <v>30</v>
      </c>
      <c r="E3" s="1" t="s">
        <v>17</v>
      </c>
      <c r="F3" s="1" t="s">
        <v>18</v>
      </c>
      <c r="G3" s="1">
        <v>36000</v>
      </c>
      <c r="H3" s="4">
        <v>36436</v>
      </c>
      <c r="I3" s="4">
        <v>42287</v>
      </c>
    </row>
    <row r="4" spans="1:9">
      <c r="A4" s="2">
        <v>1003</v>
      </c>
      <c r="B4" s="1" t="s">
        <v>19</v>
      </c>
      <c r="C4" s="1" t="s">
        <v>20</v>
      </c>
      <c r="D4" s="1">
        <v>29</v>
      </c>
      <c r="E4" s="1" t="s">
        <v>13</v>
      </c>
      <c r="F4" s="1" t="s">
        <v>14</v>
      </c>
      <c r="G4" s="1">
        <v>63000</v>
      </c>
      <c r="H4" s="4">
        <v>36711</v>
      </c>
      <c r="I4" s="4">
        <v>42986</v>
      </c>
    </row>
    <row r="5" spans="1:9">
      <c r="A5" s="2">
        <v>1004</v>
      </c>
      <c r="B5" s="1" t="s">
        <v>21</v>
      </c>
      <c r="C5" s="1" t="s">
        <v>22</v>
      </c>
      <c r="D5" s="1">
        <v>31</v>
      </c>
      <c r="E5" s="1" t="s">
        <v>13</v>
      </c>
      <c r="F5" s="1" t="s">
        <v>23</v>
      </c>
      <c r="G5" s="1">
        <v>47000</v>
      </c>
      <c r="H5" s="4">
        <v>36530</v>
      </c>
      <c r="I5" s="4">
        <v>42341</v>
      </c>
    </row>
    <row r="6" spans="1:9">
      <c r="A6" s="2">
        <v>1005</v>
      </c>
      <c r="B6" s="1" t="s">
        <v>24</v>
      </c>
      <c r="C6" s="1" t="s">
        <v>25</v>
      </c>
      <c r="D6" s="1">
        <v>32</v>
      </c>
      <c r="E6" s="1" t="s">
        <v>17</v>
      </c>
      <c r="F6" s="1" t="s">
        <v>26</v>
      </c>
      <c r="G6" s="1">
        <v>50000</v>
      </c>
      <c r="H6" s="4">
        <v>37017</v>
      </c>
      <c r="I6" s="4">
        <v>42977</v>
      </c>
    </row>
    <row r="7" spans="1:9">
      <c r="A7" s="2">
        <v>1006</v>
      </c>
      <c r="B7" s="1" t="s">
        <v>27</v>
      </c>
      <c r="C7" s="1" t="s">
        <v>28</v>
      </c>
      <c r="D7" s="1">
        <v>35</v>
      </c>
      <c r="E7" s="1" t="s">
        <v>13</v>
      </c>
      <c r="F7" s="1" t="s">
        <v>29</v>
      </c>
      <c r="G7" s="1">
        <v>65000</v>
      </c>
      <c r="H7" s="4">
        <v>35040</v>
      </c>
      <c r="I7" s="4">
        <v>41528</v>
      </c>
    </row>
    <row r="8" spans="1:9">
      <c r="A8" s="2">
        <v>1007</v>
      </c>
      <c r="B8" s="1" t="s">
        <v>30</v>
      </c>
      <c r="C8" s="1" t="s">
        <v>31</v>
      </c>
      <c r="D8" s="1">
        <v>32</v>
      </c>
      <c r="E8" s="1" t="s">
        <v>17</v>
      </c>
      <c r="F8" s="1" t="s">
        <v>32</v>
      </c>
      <c r="G8" s="1">
        <v>41000</v>
      </c>
      <c r="H8" s="4">
        <v>37933</v>
      </c>
      <c r="I8" s="4">
        <v>41551</v>
      </c>
    </row>
    <row r="9" spans="1:9">
      <c r="A9" s="2">
        <v>1008</v>
      </c>
      <c r="B9" s="1" t="s">
        <v>33</v>
      </c>
      <c r="C9" s="1" t="s">
        <v>34</v>
      </c>
      <c r="D9" s="1">
        <v>38</v>
      </c>
      <c r="E9" s="1" t="s">
        <v>13</v>
      </c>
      <c r="F9" s="1" t="s">
        <v>14</v>
      </c>
      <c r="G9" s="1">
        <v>48000</v>
      </c>
      <c r="H9" s="4">
        <v>37416</v>
      </c>
      <c r="I9" s="4">
        <v>42116</v>
      </c>
    </row>
    <row r="10" spans="1:9">
      <c r="A10" s="2">
        <v>1009</v>
      </c>
      <c r="B10" s="1" t="s">
        <v>35</v>
      </c>
      <c r="C10" s="1" t="s">
        <v>36</v>
      </c>
      <c r="D10" s="1">
        <v>31</v>
      </c>
      <c r="E10" s="1" t="s">
        <v>13</v>
      </c>
      <c r="F10" s="1" t="s">
        <v>23</v>
      </c>
      <c r="G10" s="1">
        <v>42000</v>
      </c>
      <c r="H10" s="4">
        <v>37843</v>
      </c>
      <c r="I10" s="4">
        <v>40800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J7" sqref="J7:J8"/>
    </sheetView>
  </sheetViews>
  <sheetFormatPr defaultColWidth="9.14285714285714" defaultRowHeight="15"/>
  <cols>
    <col min="1" max="1" width="12.5714285714286" style="1" customWidth="1"/>
    <col min="2" max="2" width="11.2857142857143" style="1" customWidth="1"/>
    <col min="3" max="3" width="10.8571428571429" style="1" customWidth="1"/>
    <col min="4" max="5" width="9.14285714285714" style="1"/>
    <col min="6" max="6" width="18.7142857142857" style="22" customWidth="1"/>
    <col min="7" max="7" width="9.14285714285714" style="1"/>
    <col min="8" max="8" width="10.2857142857143" style="1"/>
    <col min="9" max="9" width="11.4285714285714" style="1"/>
    <col min="10" max="10" width="21.7142857142857" style="1" customWidth="1"/>
    <col min="11" max="11" width="23.1428571428571" style="1" customWidth="1"/>
    <col min="12" max="16384" width="9.14285714285714" style="1"/>
  </cols>
  <sheetData>
    <row r="1" s="8" customFormat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23" t="s">
        <v>5</v>
      </c>
      <c r="G1" s="8" t="s">
        <v>6</v>
      </c>
      <c r="H1" s="8" t="s">
        <v>7</v>
      </c>
      <c r="I1" s="8" t="s">
        <v>8</v>
      </c>
      <c r="J1" s="8" t="s">
        <v>37</v>
      </c>
      <c r="K1" s="8" t="s">
        <v>38</v>
      </c>
    </row>
    <row r="2" spans="1:11">
      <c r="A2" s="2">
        <v>1001</v>
      </c>
      <c r="B2" s="3" t="s">
        <v>11</v>
      </c>
      <c r="C2" s="1" t="s">
        <v>12</v>
      </c>
      <c r="D2" s="1">
        <v>30</v>
      </c>
      <c r="E2" s="1" t="s">
        <v>13</v>
      </c>
      <c r="F2" s="22" t="s">
        <v>14</v>
      </c>
      <c r="G2" s="1">
        <v>45000</v>
      </c>
      <c r="H2" s="4">
        <v>37197</v>
      </c>
      <c r="I2" s="4">
        <v>42253</v>
      </c>
      <c r="J2" s="1" t="str" cm="1">
        <f t="array" ref="J2:J10">IF(D2:D10&gt;=30,"Old","Young")</f>
        <v>Old</v>
      </c>
      <c r="K2" s="1" t="str" cm="1">
        <f t="array" ref="K2:K10">_xlfn.IFS(F2:F10="Salesperson","Sales",F2:F10="Receptionist","Reception",F2:F10="Accountant","Finance",F2:F10="HR","HR",F2:F10="Regional Manager","Management",F2:F10="Supplier Relations","Logistics")</f>
        <v>Sales</v>
      </c>
    </row>
    <row r="3" spans="1:11">
      <c r="A3" s="2">
        <v>1002</v>
      </c>
      <c r="B3" s="1" t="s">
        <v>15</v>
      </c>
      <c r="C3" s="1" t="s">
        <v>16</v>
      </c>
      <c r="D3" s="1">
        <v>30</v>
      </c>
      <c r="E3" s="1" t="s">
        <v>17</v>
      </c>
      <c r="F3" s="22" t="s">
        <v>18</v>
      </c>
      <c r="G3" s="1">
        <v>36000</v>
      </c>
      <c r="H3" s="4">
        <v>36436</v>
      </c>
      <c r="I3" s="4">
        <v>42287</v>
      </c>
      <c r="J3" s="1" t="str">
        <v>Old</v>
      </c>
      <c r="K3" s="1" t="str">
        <v>Reception</v>
      </c>
    </row>
    <row r="4" spans="1:11">
      <c r="A4" s="2">
        <v>1003</v>
      </c>
      <c r="B4" s="1" t="s">
        <v>19</v>
      </c>
      <c r="C4" s="1" t="s">
        <v>20</v>
      </c>
      <c r="D4" s="1">
        <v>29</v>
      </c>
      <c r="E4" s="1" t="s">
        <v>13</v>
      </c>
      <c r="F4" s="22" t="s">
        <v>14</v>
      </c>
      <c r="G4" s="1">
        <v>63000</v>
      </c>
      <c r="H4" s="4">
        <v>36711</v>
      </c>
      <c r="I4" s="4">
        <v>42986</v>
      </c>
      <c r="J4" s="1" t="str">
        <v>Young</v>
      </c>
      <c r="K4" s="1" t="str">
        <v>Sales</v>
      </c>
    </row>
    <row r="5" spans="1:11">
      <c r="A5" s="2">
        <v>1004</v>
      </c>
      <c r="B5" s="1" t="s">
        <v>21</v>
      </c>
      <c r="C5" s="1" t="s">
        <v>22</v>
      </c>
      <c r="D5" s="1">
        <v>31</v>
      </c>
      <c r="E5" s="1" t="s">
        <v>13</v>
      </c>
      <c r="F5" s="22" t="s">
        <v>23</v>
      </c>
      <c r="G5" s="1">
        <v>47000</v>
      </c>
      <c r="H5" s="4">
        <v>36530</v>
      </c>
      <c r="I5" s="4">
        <v>42341</v>
      </c>
      <c r="J5" s="1" t="str">
        <v>Old</v>
      </c>
      <c r="K5" s="1" t="str">
        <v>Finance</v>
      </c>
    </row>
    <row r="6" spans="1:11">
      <c r="A6" s="2">
        <v>1005</v>
      </c>
      <c r="B6" s="1" t="s">
        <v>24</v>
      </c>
      <c r="C6" s="1" t="s">
        <v>25</v>
      </c>
      <c r="D6" s="1">
        <v>32</v>
      </c>
      <c r="E6" s="1" t="s">
        <v>17</v>
      </c>
      <c r="F6" s="22" t="s">
        <v>26</v>
      </c>
      <c r="G6" s="1">
        <v>50000</v>
      </c>
      <c r="H6" s="4">
        <v>37017</v>
      </c>
      <c r="I6" s="4">
        <v>42977</v>
      </c>
      <c r="J6" s="1" t="str">
        <v>Old</v>
      </c>
      <c r="K6" s="1" t="str">
        <v>HR</v>
      </c>
    </row>
    <row r="7" spans="1:11">
      <c r="A7" s="2">
        <v>1006</v>
      </c>
      <c r="B7" s="1" t="s">
        <v>27</v>
      </c>
      <c r="C7" s="1" t="s">
        <v>28</v>
      </c>
      <c r="D7" s="1">
        <v>35</v>
      </c>
      <c r="E7" s="1" t="s">
        <v>13</v>
      </c>
      <c r="F7" s="22" t="s">
        <v>29</v>
      </c>
      <c r="G7" s="1">
        <v>65000</v>
      </c>
      <c r="H7" s="4">
        <v>35040</v>
      </c>
      <c r="I7" s="4">
        <v>41528</v>
      </c>
      <c r="J7" s="1" t="str">
        <v>Old</v>
      </c>
      <c r="K7" s="1" t="str">
        <v>Management</v>
      </c>
    </row>
    <row r="8" spans="1:11">
      <c r="A8" s="2">
        <v>1007</v>
      </c>
      <c r="B8" s="1" t="s">
        <v>30</v>
      </c>
      <c r="C8" s="1" t="s">
        <v>31</v>
      </c>
      <c r="D8" s="1">
        <v>32</v>
      </c>
      <c r="E8" s="1" t="s">
        <v>17</v>
      </c>
      <c r="F8" s="22" t="s">
        <v>32</v>
      </c>
      <c r="G8" s="1">
        <v>41000</v>
      </c>
      <c r="H8" s="4">
        <v>37933</v>
      </c>
      <c r="I8" s="4">
        <v>41551</v>
      </c>
      <c r="J8" s="1" t="str">
        <v>Old</v>
      </c>
      <c r="K8" s="1" t="str">
        <v>Logistics</v>
      </c>
    </row>
    <row r="9" spans="1:11">
      <c r="A9" s="2">
        <v>1008</v>
      </c>
      <c r="B9" s="1" t="s">
        <v>33</v>
      </c>
      <c r="C9" s="1" t="s">
        <v>34</v>
      </c>
      <c r="D9" s="1">
        <v>38</v>
      </c>
      <c r="E9" s="1" t="s">
        <v>13</v>
      </c>
      <c r="F9" s="22" t="s">
        <v>14</v>
      </c>
      <c r="G9" s="1">
        <v>48000</v>
      </c>
      <c r="H9" s="4">
        <v>37416</v>
      </c>
      <c r="I9" s="4">
        <v>42116</v>
      </c>
      <c r="J9" s="1" t="str">
        <v>Old</v>
      </c>
      <c r="K9" s="1" t="str">
        <v>Sales</v>
      </c>
    </row>
    <row r="10" spans="1:11">
      <c r="A10" s="2">
        <v>1009</v>
      </c>
      <c r="B10" s="1" t="s">
        <v>35</v>
      </c>
      <c r="C10" s="1" t="s">
        <v>36</v>
      </c>
      <c r="D10" s="1">
        <v>31</v>
      </c>
      <c r="E10" s="1" t="s">
        <v>13</v>
      </c>
      <c r="F10" s="22" t="s">
        <v>23</v>
      </c>
      <c r="G10" s="1">
        <v>42000</v>
      </c>
      <c r="H10" s="4">
        <v>37843</v>
      </c>
      <c r="I10" s="4">
        <v>40800</v>
      </c>
      <c r="J10" s="1" t="str">
        <v>Old</v>
      </c>
      <c r="K10" s="1" t="str">
        <v>Finance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J16" sqref="J16"/>
    </sheetView>
  </sheetViews>
  <sheetFormatPr defaultColWidth="9.14285714285714" defaultRowHeight="15"/>
  <cols>
    <col min="5" max="5" width="8.28571428571429" customWidth="1"/>
    <col min="6" max="6" width="18.7142857142857" customWidth="1"/>
    <col min="7" max="7" width="6.85714285714286" customWidth="1"/>
    <col min="8" max="8" width="10.2857142857143" customWidth="1"/>
    <col min="9" max="9" width="11.4285714285714" customWidth="1"/>
    <col min="10" max="10" width="16.1428571428571" customWidth="1"/>
  </cols>
  <sheetData>
    <row r="1" s="7" customFormat="1" spans="1:11">
      <c r="A1" s="7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39</v>
      </c>
      <c r="K1" s="8"/>
    </row>
    <row r="2" spans="1:11">
      <c r="A2" s="2">
        <v>1001</v>
      </c>
      <c r="B2" s="3" t="s">
        <v>11</v>
      </c>
      <c r="C2" s="1" t="s">
        <v>12</v>
      </c>
      <c r="D2" s="1">
        <v>30</v>
      </c>
      <c r="E2" s="1" t="s">
        <v>13</v>
      </c>
      <c r="F2" s="1" t="s">
        <v>14</v>
      </c>
      <c r="G2" s="1">
        <v>45000</v>
      </c>
      <c r="H2" s="4">
        <v>37197</v>
      </c>
      <c r="I2" s="4">
        <v>42253</v>
      </c>
      <c r="J2" s="1" cm="1">
        <f t="array" ref="J2:J10">LEN(F2:F10)</f>
        <v>11</v>
      </c>
      <c r="K2" s="1"/>
    </row>
    <row r="3" spans="1:11">
      <c r="A3" s="2">
        <v>1002</v>
      </c>
      <c r="B3" s="1" t="s">
        <v>15</v>
      </c>
      <c r="C3" s="1" t="s">
        <v>16</v>
      </c>
      <c r="D3" s="1">
        <v>30</v>
      </c>
      <c r="E3" s="1" t="s">
        <v>17</v>
      </c>
      <c r="F3" s="1" t="s">
        <v>18</v>
      </c>
      <c r="G3" s="1">
        <v>36000</v>
      </c>
      <c r="H3" s="4">
        <v>36436</v>
      </c>
      <c r="I3" s="4">
        <v>42287</v>
      </c>
      <c r="J3" s="1">
        <v>12</v>
      </c>
      <c r="K3" s="1"/>
    </row>
    <row r="4" spans="1:11">
      <c r="A4" s="2">
        <v>1003</v>
      </c>
      <c r="B4" s="1" t="s">
        <v>19</v>
      </c>
      <c r="C4" s="1" t="s">
        <v>20</v>
      </c>
      <c r="D4" s="1">
        <v>29</v>
      </c>
      <c r="E4" s="1" t="s">
        <v>13</v>
      </c>
      <c r="F4" s="1" t="s">
        <v>14</v>
      </c>
      <c r="G4" s="1">
        <v>63000</v>
      </c>
      <c r="H4" s="4">
        <v>36711</v>
      </c>
      <c r="I4" s="4">
        <v>42986</v>
      </c>
      <c r="J4" s="1">
        <v>11</v>
      </c>
      <c r="K4" s="1"/>
    </row>
    <row r="5" spans="1:11">
      <c r="A5" s="2">
        <v>1004</v>
      </c>
      <c r="B5" s="1" t="s">
        <v>21</v>
      </c>
      <c r="C5" s="1" t="s">
        <v>22</v>
      </c>
      <c r="D5" s="1">
        <v>31</v>
      </c>
      <c r="E5" s="1" t="s">
        <v>13</v>
      </c>
      <c r="F5" s="1" t="s">
        <v>23</v>
      </c>
      <c r="G5" s="1">
        <v>47000</v>
      </c>
      <c r="H5" s="4">
        <v>36530</v>
      </c>
      <c r="I5" s="4">
        <v>42341</v>
      </c>
      <c r="J5" s="1">
        <v>10</v>
      </c>
      <c r="K5" s="1"/>
    </row>
    <row r="6" spans="1:11">
      <c r="A6" s="2">
        <v>1005</v>
      </c>
      <c r="B6" s="1" t="s">
        <v>24</v>
      </c>
      <c r="C6" s="1" t="s">
        <v>25</v>
      </c>
      <c r="D6" s="1">
        <v>32</v>
      </c>
      <c r="E6" s="1" t="s">
        <v>17</v>
      </c>
      <c r="F6" s="1" t="s">
        <v>26</v>
      </c>
      <c r="G6" s="1">
        <v>50000</v>
      </c>
      <c r="H6" s="4">
        <v>37017</v>
      </c>
      <c r="I6" s="4">
        <v>42977</v>
      </c>
      <c r="J6" s="1">
        <v>2</v>
      </c>
      <c r="K6" s="1"/>
    </row>
    <row r="7" spans="1:11">
      <c r="A7" s="2">
        <v>1006</v>
      </c>
      <c r="B7" s="1" t="s">
        <v>27</v>
      </c>
      <c r="C7" s="1" t="s">
        <v>28</v>
      </c>
      <c r="D7" s="1">
        <v>35</v>
      </c>
      <c r="E7" s="1" t="s">
        <v>13</v>
      </c>
      <c r="F7" s="1" t="s">
        <v>29</v>
      </c>
      <c r="G7" s="1">
        <v>65000</v>
      </c>
      <c r="H7" s="4">
        <v>35040</v>
      </c>
      <c r="I7" s="4">
        <v>41528</v>
      </c>
      <c r="J7" s="1">
        <v>16</v>
      </c>
      <c r="K7" s="1"/>
    </row>
    <row r="8" spans="1:11">
      <c r="A8" s="2">
        <v>1007</v>
      </c>
      <c r="B8" s="1" t="s">
        <v>30</v>
      </c>
      <c r="C8" s="1" t="s">
        <v>31</v>
      </c>
      <c r="D8" s="1">
        <v>32</v>
      </c>
      <c r="E8" s="1" t="s">
        <v>17</v>
      </c>
      <c r="F8" s="1" t="s">
        <v>32</v>
      </c>
      <c r="G8" s="1">
        <v>41000</v>
      </c>
      <c r="H8" s="4">
        <v>37933</v>
      </c>
      <c r="I8" s="4">
        <v>41551</v>
      </c>
      <c r="J8" s="1">
        <v>18</v>
      </c>
      <c r="K8" s="1"/>
    </row>
    <row r="9" spans="1:11">
      <c r="A9" s="2">
        <v>1008</v>
      </c>
      <c r="B9" s="1" t="s">
        <v>33</v>
      </c>
      <c r="C9" s="1" t="s">
        <v>34</v>
      </c>
      <c r="D9" s="1">
        <v>38</v>
      </c>
      <c r="E9" s="1" t="s">
        <v>13</v>
      </c>
      <c r="F9" s="1" t="s">
        <v>14</v>
      </c>
      <c r="G9" s="1">
        <v>48000</v>
      </c>
      <c r="H9" s="4">
        <v>37416</v>
      </c>
      <c r="I9" s="4">
        <v>42116</v>
      </c>
      <c r="J9" s="1">
        <v>11</v>
      </c>
      <c r="K9" s="1"/>
    </row>
    <row r="10" spans="1:11">
      <c r="A10" s="2">
        <v>1009</v>
      </c>
      <c r="B10" s="1" t="s">
        <v>35</v>
      </c>
      <c r="C10" s="1" t="s">
        <v>36</v>
      </c>
      <c r="D10" s="1">
        <v>31</v>
      </c>
      <c r="E10" s="1" t="s">
        <v>13</v>
      </c>
      <c r="F10" s="1" t="s">
        <v>23</v>
      </c>
      <c r="G10" s="1">
        <v>42000</v>
      </c>
      <c r="H10" s="4">
        <v>37843</v>
      </c>
      <c r="I10" s="4">
        <v>40800</v>
      </c>
      <c r="J10" s="1">
        <v>10</v>
      </c>
      <c r="K10" s="1"/>
    </row>
    <row r="11" spans="2:11">
      <c r="B11" s="1"/>
      <c r="C11" s="1"/>
      <c r="E11" s="1"/>
      <c r="F11" s="1"/>
      <c r="G11" s="1"/>
      <c r="H11" s="1"/>
      <c r="I11" s="1"/>
      <c r="J11" s="1"/>
      <c r="K11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K2" sqref="K2"/>
    </sheetView>
  </sheetViews>
  <sheetFormatPr defaultColWidth="9.14285714285714" defaultRowHeight="15"/>
  <cols>
    <col min="1" max="1" width="12.5714285714286" customWidth="1"/>
    <col min="2" max="2" width="11.2857142857143" customWidth="1"/>
    <col min="3" max="3" width="10.8571428571429" customWidth="1"/>
    <col min="4" max="4" width="5" customWidth="1"/>
    <col min="5" max="5" width="8.14285714285714" customWidth="1"/>
    <col min="6" max="6" width="18.7142857142857" customWidth="1"/>
    <col min="7" max="7" width="6.85714285714286" customWidth="1"/>
    <col min="8" max="8" width="10.2857142857143" customWidth="1"/>
    <col min="9" max="9" width="11.4285714285714" customWidth="1"/>
    <col min="10" max="10" width="50.2857142857143" customWidth="1"/>
    <col min="11" max="11" width="52.7142857142857" customWidth="1"/>
  </cols>
  <sheetData>
    <row r="1" s="5" customFormat="1" spans="1:11">
      <c r="A1" s="11" t="s">
        <v>0</v>
      </c>
      <c r="B1" s="12" t="s">
        <v>1</v>
      </c>
      <c r="C1" s="12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8" t="s">
        <v>40</v>
      </c>
      <c r="K1" s="21" t="s">
        <v>41</v>
      </c>
    </row>
    <row r="2" spans="1:11">
      <c r="A2" s="14">
        <v>1001</v>
      </c>
      <c r="B2" s="15" t="s">
        <v>11</v>
      </c>
      <c r="C2" s="16" t="s">
        <v>12</v>
      </c>
      <c r="D2" s="17">
        <v>30</v>
      </c>
      <c r="E2" s="16" t="s">
        <v>13</v>
      </c>
      <c r="F2" s="16" t="s">
        <v>14</v>
      </c>
      <c r="G2" s="17">
        <v>45000</v>
      </c>
      <c r="H2" s="20">
        <v>37197</v>
      </c>
      <c r="I2" s="20">
        <v>42253</v>
      </c>
      <c r="J2" s="1" t="str" cm="1">
        <f t="array" ref="J2:J10">LEFT(B2:B10,3)</f>
        <v>Fel</v>
      </c>
      <c r="K2" s="1" t="str" cm="1">
        <f t="array" ref="K2:K10">RIGHT(C2:C10,3)</f>
        <v>ker</v>
      </c>
    </row>
    <row r="3" spans="1:11">
      <c r="A3" s="14">
        <v>1002</v>
      </c>
      <c r="B3" s="16" t="s">
        <v>15</v>
      </c>
      <c r="C3" s="16" t="s">
        <v>16</v>
      </c>
      <c r="D3" s="17">
        <v>30</v>
      </c>
      <c r="E3" s="16" t="s">
        <v>17</v>
      </c>
      <c r="F3" s="16" t="s">
        <v>18</v>
      </c>
      <c r="G3" s="17">
        <v>36000</v>
      </c>
      <c r="H3" s="20">
        <v>36436</v>
      </c>
      <c r="I3" s="20">
        <v>42287</v>
      </c>
      <c r="J3" s="1" t="str">
        <v>Pat</v>
      </c>
      <c r="K3" s="1" t="str">
        <v>ams</v>
      </c>
    </row>
    <row r="4" spans="1:11">
      <c r="A4" s="14">
        <v>1003</v>
      </c>
      <c r="B4" s="16" t="s">
        <v>19</v>
      </c>
      <c r="C4" s="16" t="s">
        <v>20</v>
      </c>
      <c r="D4" s="17">
        <v>29</v>
      </c>
      <c r="E4" s="16" t="s">
        <v>13</v>
      </c>
      <c r="F4" s="16" t="s">
        <v>14</v>
      </c>
      <c r="G4" s="17">
        <v>63000</v>
      </c>
      <c r="H4" s="20">
        <v>36711</v>
      </c>
      <c r="I4" s="20">
        <v>42986</v>
      </c>
      <c r="J4" s="1" t="str">
        <v>Amo</v>
      </c>
      <c r="K4" s="1" t="str">
        <v>red</v>
      </c>
    </row>
    <row r="5" spans="1:11">
      <c r="A5" s="14">
        <v>1004</v>
      </c>
      <c r="B5" s="16" t="s">
        <v>21</v>
      </c>
      <c r="C5" s="16" t="s">
        <v>22</v>
      </c>
      <c r="D5" s="17">
        <v>31</v>
      </c>
      <c r="E5" s="16" t="s">
        <v>13</v>
      </c>
      <c r="F5" s="16" t="s">
        <v>23</v>
      </c>
      <c r="G5" s="17">
        <v>47000</v>
      </c>
      <c r="H5" s="20">
        <v>36530</v>
      </c>
      <c r="I5" s="20">
        <v>42341</v>
      </c>
      <c r="J5" s="1" t="str">
        <v>Deb</v>
      </c>
      <c r="K5" s="1" t="str">
        <v>mer</v>
      </c>
    </row>
    <row r="6" spans="1:11">
      <c r="A6" s="14">
        <v>1005</v>
      </c>
      <c r="B6" s="16" t="s">
        <v>24</v>
      </c>
      <c r="C6" s="16" t="s">
        <v>25</v>
      </c>
      <c r="D6" s="17">
        <v>32</v>
      </c>
      <c r="E6" s="16" t="s">
        <v>17</v>
      </c>
      <c r="F6" s="16" t="s">
        <v>26</v>
      </c>
      <c r="G6" s="17">
        <v>50000</v>
      </c>
      <c r="H6" s="20">
        <v>37017</v>
      </c>
      <c r="I6" s="20">
        <v>42977</v>
      </c>
      <c r="J6" s="1" t="str">
        <v>Pra</v>
      </c>
      <c r="K6" s="1" t="str">
        <v>ole</v>
      </c>
    </row>
    <row r="7" spans="1:11">
      <c r="A7" s="14">
        <v>1006</v>
      </c>
      <c r="B7" s="16" t="s">
        <v>27</v>
      </c>
      <c r="C7" s="16" t="s">
        <v>28</v>
      </c>
      <c r="D7" s="17">
        <v>35</v>
      </c>
      <c r="E7" s="16" t="s">
        <v>13</v>
      </c>
      <c r="F7" s="16" t="s">
        <v>29</v>
      </c>
      <c r="G7" s="17">
        <v>65000</v>
      </c>
      <c r="H7" s="20">
        <v>35040</v>
      </c>
      <c r="I7" s="20">
        <v>41528</v>
      </c>
      <c r="J7" s="1" t="str">
        <v>Joh</v>
      </c>
      <c r="K7" s="1" t="str">
        <v>son</v>
      </c>
    </row>
    <row r="8" spans="1:11">
      <c r="A8" s="14">
        <v>1007</v>
      </c>
      <c r="B8" s="16" t="s">
        <v>30</v>
      </c>
      <c r="C8" s="16" t="s">
        <v>31</v>
      </c>
      <c r="D8" s="17">
        <v>32</v>
      </c>
      <c r="E8" s="16" t="s">
        <v>17</v>
      </c>
      <c r="F8" s="16" t="s">
        <v>32</v>
      </c>
      <c r="G8" s="17">
        <v>41000</v>
      </c>
      <c r="H8" s="20">
        <v>37933</v>
      </c>
      <c r="I8" s="20">
        <v>41551</v>
      </c>
      <c r="J8" s="1" t="str">
        <v>Pea</v>
      </c>
      <c r="K8" s="1" t="str">
        <v>ley</v>
      </c>
    </row>
    <row r="9" spans="1:11">
      <c r="A9" s="14">
        <v>1008</v>
      </c>
      <c r="B9" s="16" t="s">
        <v>33</v>
      </c>
      <c r="C9" s="16" t="s">
        <v>34</v>
      </c>
      <c r="D9" s="17">
        <v>38</v>
      </c>
      <c r="E9" s="16" t="s">
        <v>13</v>
      </c>
      <c r="F9" s="16" t="s">
        <v>14</v>
      </c>
      <c r="G9" s="17">
        <v>48000</v>
      </c>
      <c r="H9" s="20">
        <v>37416</v>
      </c>
      <c r="I9" s="20">
        <v>42116</v>
      </c>
      <c r="J9" s="1" t="str">
        <v>Mar</v>
      </c>
      <c r="K9" s="1" t="str">
        <v>one</v>
      </c>
    </row>
    <row r="10" spans="1:11">
      <c r="A10" s="14">
        <v>1009</v>
      </c>
      <c r="B10" s="16" t="s">
        <v>35</v>
      </c>
      <c r="C10" s="16" t="s">
        <v>36</v>
      </c>
      <c r="D10" s="17">
        <v>31</v>
      </c>
      <c r="E10" s="16" t="s">
        <v>13</v>
      </c>
      <c r="F10" s="16" t="s">
        <v>23</v>
      </c>
      <c r="G10" s="17">
        <v>42000</v>
      </c>
      <c r="H10" s="20">
        <v>37843</v>
      </c>
      <c r="I10" s="20">
        <v>40800</v>
      </c>
      <c r="J10" s="1" t="str">
        <v>Sco</v>
      </c>
      <c r="K10" s="1" t="str">
        <v>ert</v>
      </c>
    </row>
    <row r="11" spans="2:11">
      <c r="B11" s="1"/>
      <c r="C11" s="1"/>
      <c r="E11" s="1"/>
      <c r="F11" s="1"/>
      <c r="G11" s="1"/>
      <c r="H11" s="1"/>
      <c r="I11" s="1"/>
      <c r="J11" s="1"/>
      <c r="K11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opLeftCell="C1" workbookViewId="0">
      <selection activeCell="J1" sqref="J$1:J$1048576"/>
    </sheetView>
  </sheetViews>
  <sheetFormatPr defaultColWidth="9.14285714285714" defaultRowHeight="15"/>
  <cols>
    <col min="1" max="1" width="13.7142857142857" customWidth="1"/>
    <col min="2" max="2" width="12.2857142857143" customWidth="1"/>
    <col min="3" max="3" width="11.8571428571429" customWidth="1"/>
    <col min="4" max="4" width="5.42857142857143" customWidth="1"/>
    <col min="5" max="5" width="8.57142857142857" customWidth="1"/>
    <col min="6" max="6" width="17.8571428571429" customWidth="1"/>
    <col min="7" max="7" width="7.14285714285714" customWidth="1"/>
    <col min="8" max="8" width="11.1428571428571" style="6" customWidth="1"/>
    <col min="9" max="9" width="10.8571428571429" style="6" customWidth="1"/>
    <col min="10" max="10" width="14.7142857142857" customWidth="1"/>
    <col min="11" max="11" width="6.14285714285714" customWidth="1"/>
  </cols>
  <sheetData>
    <row r="1" s="5" customFormat="1" spans="1:11">
      <c r="A1" s="11" t="s">
        <v>0</v>
      </c>
      <c r="B1" s="12" t="s">
        <v>1</v>
      </c>
      <c r="C1" s="12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3" t="s">
        <v>8</v>
      </c>
      <c r="J1" s="12" t="s">
        <v>42</v>
      </c>
      <c r="K1" s="12"/>
    </row>
    <row r="2" spans="1:11">
      <c r="A2" s="14">
        <v>1001</v>
      </c>
      <c r="B2" s="15" t="s">
        <v>11</v>
      </c>
      <c r="C2" s="16" t="s">
        <v>12</v>
      </c>
      <c r="D2" s="17">
        <v>30</v>
      </c>
      <c r="E2" s="16" t="s">
        <v>13</v>
      </c>
      <c r="F2" s="16" t="s">
        <v>14</v>
      </c>
      <c r="G2" s="17">
        <v>45000</v>
      </c>
      <c r="H2" s="18">
        <v>37197</v>
      </c>
      <c r="I2" s="18">
        <v>42253</v>
      </c>
      <c r="J2" s="17" t="str" cm="1">
        <f t="array" ref="J2:J10">TEXT(H2:H10,"dd/mm/yyyy")</f>
        <v>02/11/2001</v>
      </c>
      <c r="K2" s="17"/>
    </row>
    <row r="3" spans="1:11">
      <c r="A3" s="14">
        <v>1002</v>
      </c>
      <c r="B3" s="16" t="s">
        <v>15</v>
      </c>
      <c r="C3" s="16" t="s">
        <v>16</v>
      </c>
      <c r="D3" s="17">
        <v>30</v>
      </c>
      <c r="E3" s="16" t="s">
        <v>17</v>
      </c>
      <c r="F3" s="16" t="s">
        <v>18</v>
      </c>
      <c r="G3" s="17">
        <v>36000</v>
      </c>
      <c r="H3" s="18">
        <v>36436</v>
      </c>
      <c r="I3" s="18">
        <v>42287</v>
      </c>
      <c r="J3" s="17" t="str">
        <v>03/10/1999</v>
      </c>
      <c r="K3" s="17"/>
    </row>
    <row r="4" spans="1:11">
      <c r="A4" s="14">
        <v>1003</v>
      </c>
      <c r="B4" s="16" t="s">
        <v>19</v>
      </c>
      <c r="C4" s="16" t="s">
        <v>20</v>
      </c>
      <c r="D4" s="17">
        <v>29</v>
      </c>
      <c r="E4" s="16" t="s">
        <v>13</v>
      </c>
      <c r="F4" s="16" t="s">
        <v>14</v>
      </c>
      <c r="G4" s="17">
        <v>63000</v>
      </c>
      <c r="H4" s="18">
        <v>36711</v>
      </c>
      <c r="I4" s="18">
        <v>42986</v>
      </c>
      <c r="J4" s="17" t="str">
        <v>04/07/2000</v>
      </c>
      <c r="K4" s="17"/>
    </row>
    <row r="5" spans="1:11">
      <c r="A5" s="14">
        <v>1004</v>
      </c>
      <c r="B5" s="16" t="s">
        <v>21</v>
      </c>
      <c r="C5" s="16" t="s">
        <v>22</v>
      </c>
      <c r="D5" s="17">
        <v>31</v>
      </c>
      <c r="E5" s="16" t="s">
        <v>13</v>
      </c>
      <c r="F5" s="16" t="s">
        <v>23</v>
      </c>
      <c r="G5" s="17">
        <v>47000</v>
      </c>
      <c r="H5" s="18">
        <v>36530</v>
      </c>
      <c r="I5" s="18">
        <v>42341</v>
      </c>
      <c r="J5" s="17" t="str">
        <v>05/01/2000</v>
      </c>
      <c r="K5" s="17"/>
    </row>
    <row r="6" spans="1:11">
      <c r="A6" s="14">
        <v>1005</v>
      </c>
      <c r="B6" s="16" t="s">
        <v>24</v>
      </c>
      <c r="C6" s="16" t="s">
        <v>25</v>
      </c>
      <c r="D6" s="17">
        <v>32</v>
      </c>
      <c r="E6" s="16" t="s">
        <v>17</v>
      </c>
      <c r="F6" s="16" t="s">
        <v>26</v>
      </c>
      <c r="G6" s="17">
        <v>50000</v>
      </c>
      <c r="H6" s="18">
        <v>37017</v>
      </c>
      <c r="I6" s="18">
        <v>42977</v>
      </c>
      <c r="J6" s="17" t="str">
        <v>06/05/2001</v>
      </c>
      <c r="K6" s="17"/>
    </row>
    <row r="7" spans="1:11">
      <c r="A7" s="14">
        <v>1006</v>
      </c>
      <c r="B7" s="16" t="s">
        <v>27</v>
      </c>
      <c r="C7" s="16" t="s">
        <v>28</v>
      </c>
      <c r="D7" s="17">
        <v>35</v>
      </c>
      <c r="E7" s="16" t="s">
        <v>13</v>
      </c>
      <c r="F7" s="16" t="s">
        <v>29</v>
      </c>
      <c r="G7" s="17">
        <v>65000</v>
      </c>
      <c r="H7" s="18">
        <v>35040</v>
      </c>
      <c r="I7" s="18">
        <v>41528</v>
      </c>
      <c r="J7" s="17" t="str">
        <v>07/12/1995</v>
      </c>
      <c r="K7" s="17"/>
    </row>
    <row r="8" spans="1:11">
      <c r="A8" s="14">
        <v>1007</v>
      </c>
      <c r="B8" s="16" t="s">
        <v>30</v>
      </c>
      <c r="C8" s="16" t="s">
        <v>31</v>
      </c>
      <c r="D8" s="17">
        <v>32</v>
      </c>
      <c r="E8" s="16" t="s">
        <v>17</v>
      </c>
      <c r="F8" s="16" t="s">
        <v>32</v>
      </c>
      <c r="G8" s="17">
        <v>41000</v>
      </c>
      <c r="H8" s="18">
        <v>37933</v>
      </c>
      <c r="I8" s="18">
        <v>41551</v>
      </c>
      <c r="J8" s="17" t="str">
        <v>08/11/2003</v>
      </c>
      <c r="K8" s="17"/>
    </row>
    <row r="9" spans="1:11">
      <c r="A9" s="14">
        <v>1008</v>
      </c>
      <c r="B9" s="16" t="s">
        <v>33</v>
      </c>
      <c r="C9" s="16" t="s">
        <v>34</v>
      </c>
      <c r="D9" s="17">
        <v>38</v>
      </c>
      <c r="E9" s="16" t="s">
        <v>13</v>
      </c>
      <c r="F9" s="16" t="s">
        <v>14</v>
      </c>
      <c r="G9" s="17">
        <v>48000</v>
      </c>
      <c r="H9" s="18">
        <v>37416</v>
      </c>
      <c r="I9" s="18">
        <v>42116</v>
      </c>
      <c r="J9" s="17" t="str">
        <v>09/06/2002</v>
      </c>
      <c r="K9" s="17"/>
    </row>
    <row r="10" spans="1:11">
      <c r="A10" s="14">
        <v>1009</v>
      </c>
      <c r="B10" s="16" t="s">
        <v>35</v>
      </c>
      <c r="C10" s="16" t="s">
        <v>36</v>
      </c>
      <c r="D10" s="17">
        <v>31</v>
      </c>
      <c r="E10" s="16" t="s">
        <v>13</v>
      </c>
      <c r="F10" s="16" t="s">
        <v>23</v>
      </c>
      <c r="G10" s="17">
        <v>42000</v>
      </c>
      <c r="H10" s="18">
        <v>37843</v>
      </c>
      <c r="I10" s="18">
        <v>40800</v>
      </c>
      <c r="J10" s="17" t="str">
        <v>10/08/2003</v>
      </c>
      <c r="K10" s="17"/>
    </row>
    <row r="11" spans="1:11">
      <c r="A11" s="19"/>
      <c r="B11" s="17"/>
      <c r="C11" s="17"/>
      <c r="D11" s="19"/>
      <c r="E11" s="17"/>
      <c r="F11" s="17"/>
      <c r="G11" s="17"/>
      <c r="H11" s="18"/>
      <c r="I11" s="18"/>
      <c r="J11" s="17"/>
      <c r="K11" s="1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opLeftCell="F1" workbookViewId="0">
      <selection activeCell="J2" sqref="J2"/>
    </sheetView>
  </sheetViews>
  <sheetFormatPr defaultColWidth="9.14285714285714" defaultRowHeight="15"/>
  <cols>
    <col min="1" max="1" width="12.5714285714286" customWidth="1"/>
    <col min="2" max="2" width="12.8571428571429" customWidth="1"/>
    <col min="3" max="3" width="10.8571428571429" customWidth="1"/>
    <col min="4" max="4" width="5" customWidth="1"/>
    <col min="5" max="5" width="8.14285714285714" customWidth="1"/>
    <col min="6" max="6" width="18.7142857142857" customWidth="1"/>
    <col min="7" max="7" width="6.85714285714286" customWidth="1"/>
    <col min="8" max="8" width="10.2857142857143" customWidth="1"/>
    <col min="9" max="9" width="11.4285714285714" customWidth="1"/>
    <col min="10" max="10" width="33" customWidth="1"/>
    <col min="11" max="11" width="5.28571428571429" customWidth="1"/>
  </cols>
  <sheetData>
    <row r="1" s="5" customFormat="1" spans="1:11">
      <c r="A1" s="7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43</v>
      </c>
      <c r="K1" s="8"/>
    </row>
    <row r="2" spans="1:11">
      <c r="A2" s="2">
        <v>1001</v>
      </c>
      <c r="B2" s="3" t="s">
        <v>44</v>
      </c>
      <c r="C2" s="1" t="s">
        <v>12</v>
      </c>
      <c r="D2" s="1">
        <v>30</v>
      </c>
      <c r="E2" s="1" t="s">
        <v>13</v>
      </c>
      <c r="F2" s="1" t="s">
        <v>14</v>
      </c>
      <c r="G2" s="1">
        <v>45000</v>
      </c>
      <c r="H2" s="4">
        <v>37197</v>
      </c>
      <c r="I2" s="4">
        <v>42253</v>
      </c>
      <c r="J2" s="1" t="str" cm="1">
        <f t="array" ref="J2:J10">TRIM(B2:B10)</f>
        <v>Felix</v>
      </c>
      <c r="K2" s="1"/>
    </row>
    <row r="3" spans="1:11">
      <c r="A3" s="2">
        <v>1002</v>
      </c>
      <c r="B3" s="1" t="s">
        <v>15</v>
      </c>
      <c r="C3" s="1" t="s">
        <v>16</v>
      </c>
      <c r="D3" s="1">
        <v>30</v>
      </c>
      <c r="E3" s="1" t="s">
        <v>17</v>
      </c>
      <c r="F3" s="1" t="s">
        <v>18</v>
      </c>
      <c r="G3" s="1">
        <v>36000</v>
      </c>
      <c r="H3" s="4">
        <v>36436</v>
      </c>
      <c r="I3" s="4">
        <v>42287</v>
      </c>
      <c r="J3" s="1" t="str">
        <v>Patience</v>
      </c>
      <c r="K3" s="1"/>
    </row>
    <row r="4" spans="1:11">
      <c r="A4" s="2">
        <v>1003</v>
      </c>
      <c r="B4" s="1" t="s">
        <v>19</v>
      </c>
      <c r="C4" s="1" t="s">
        <v>20</v>
      </c>
      <c r="D4" s="1">
        <v>29</v>
      </c>
      <c r="E4" s="1" t="s">
        <v>13</v>
      </c>
      <c r="F4" s="1" t="s">
        <v>14</v>
      </c>
      <c r="G4" s="1">
        <v>63000</v>
      </c>
      <c r="H4" s="4">
        <v>36711</v>
      </c>
      <c r="I4" s="4">
        <v>42986</v>
      </c>
      <c r="J4" s="1" t="str">
        <v>Amos</v>
      </c>
      <c r="K4" s="1"/>
    </row>
    <row r="5" spans="1:11">
      <c r="A5" s="2">
        <v>1004</v>
      </c>
      <c r="B5" s="1" t="s">
        <v>45</v>
      </c>
      <c r="C5" s="1" t="s">
        <v>22</v>
      </c>
      <c r="D5" s="1">
        <v>31</v>
      </c>
      <c r="E5" s="1" t="s">
        <v>13</v>
      </c>
      <c r="F5" s="1" t="s">
        <v>23</v>
      </c>
      <c r="G5" s="1">
        <v>47000</v>
      </c>
      <c r="H5" s="4">
        <v>36530</v>
      </c>
      <c r="I5" s="4">
        <v>42341</v>
      </c>
      <c r="J5" s="1" t="str">
        <v>Deborah</v>
      </c>
      <c r="K5" s="1"/>
    </row>
    <row r="6" spans="1:11">
      <c r="A6" s="2">
        <v>1005</v>
      </c>
      <c r="B6" s="1" t="s">
        <v>24</v>
      </c>
      <c r="C6" s="1" t="s">
        <v>25</v>
      </c>
      <c r="D6" s="1">
        <v>32</v>
      </c>
      <c r="E6" s="1" t="s">
        <v>17</v>
      </c>
      <c r="F6" s="1" t="s">
        <v>26</v>
      </c>
      <c r="G6" s="1">
        <v>50000</v>
      </c>
      <c r="H6" s="4">
        <v>37017</v>
      </c>
      <c r="I6" s="4">
        <v>42977</v>
      </c>
      <c r="J6" s="1" t="str">
        <v>Praise</v>
      </c>
      <c r="K6" s="1"/>
    </row>
    <row r="7" spans="1:11">
      <c r="A7" s="2">
        <v>1006</v>
      </c>
      <c r="B7" s="1" t="s">
        <v>27</v>
      </c>
      <c r="C7" s="1" t="s">
        <v>28</v>
      </c>
      <c r="D7" s="1">
        <v>35</v>
      </c>
      <c r="E7" s="1" t="s">
        <v>13</v>
      </c>
      <c r="F7" s="1" t="s">
        <v>29</v>
      </c>
      <c r="G7" s="1">
        <v>65000</v>
      </c>
      <c r="H7" s="4">
        <v>35040</v>
      </c>
      <c r="I7" s="4">
        <v>41528</v>
      </c>
      <c r="J7" s="1" t="str">
        <v>John</v>
      </c>
      <c r="K7" s="1"/>
    </row>
    <row r="8" spans="1:11">
      <c r="A8" s="2">
        <v>1007</v>
      </c>
      <c r="B8" s="1" t="s">
        <v>46</v>
      </c>
      <c r="C8" s="1" t="s">
        <v>31</v>
      </c>
      <c r="D8" s="1">
        <v>32</v>
      </c>
      <c r="E8" s="1" t="s">
        <v>17</v>
      </c>
      <c r="F8" s="1" t="s">
        <v>32</v>
      </c>
      <c r="G8" s="1">
        <v>41000</v>
      </c>
      <c r="H8" s="4">
        <v>37933</v>
      </c>
      <c r="I8" s="4">
        <v>41551</v>
      </c>
      <c r="J8" s="1" t="str">
        <v>Peace</v>
      </c>
      <c r="K8" s="1"/>
    </row>
    <row r="9" spans="1:11">
      <c r="A9" s="2">
        <v>1008</v>
      </c>
      <c r="B9" s="1" t="s">
        <v>33</v>
      </c>
      <c r="C9" s="1" t="s">
        <v>34</v>
      </c>
      <c r="D9" s="1">
        <v>38</v>
      </c>
      <c r="E9" s="1" t="s">
        <v>13</v>
      </c>
      <c r="F9" s="1" t="s">
        <v>14</v>
      </c>
      <c r="G9" s="1">
        <v>48000</v>
      </c>
      <c r="H9" s="4">
        <v>37416</v>
      </c>
      <c r="I9" s="4">
        <v>42116</v>
      </c>
      <c r="J9" s="1" t="str">
        <v>Martins</v>
      </c>
      <c r="K9" s="1"/>
    </row>
    <row r="10" spans="1:11">
      <c r="A10" s="2">
        <v>1009</v>
      </c>
      <c r="B10" s="1" t="s">
        <v>35</v>
      </c>
      <c r="C10" s="1" t="s">
        <v>36</v>
      </c>
      <c r="D10" s="1">
        <v>31</v>
      </c>
      <c r="E10" s="1" t="s">
        <v>13</v>
      </c>
      <c r="F10" s="1" t="s">
        <v>23</v>
      </c>
      <c r="G10" s="1">
        <v>42000</v>
      </c>
      <c r="H10" s="4">
        <v>37843</v>
      </c>
      <c r="I10" s="4">
        <v>40800</v>
      </c>
      <c r="J10" s="1" t="str">
        <v>Scott</v>
      </c>
      <c r="K10" s="1"/>
    </row>
    <row r="11" spans="2:11">
      <c r="B11" s="1"/>
      <c r="C11" s="1"/>
      <c r="E11" s="1"/>
      <c r="F11" s="1"/>
      <c r="G11" s="1"/>
      <c r="H11" s="1"/>
      <c r="I11" s="1"/>
      <c r="J11" s="1"/>
      <c r="K11" s="1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opLeftCell="G1" workbookViewId="0">
      <selection activeCell="K3" sqref="K3"/>
    </sheetView>
  </sheetViews>
  <sheetFormatPr defaultColWidth="9.14285714285714" defaultRowHeight="15"/>
  <cols>
    <col min="1" max="1" width="5.57142857142857" customWidth="1"/>
    <col min="2" max="2" width="11.2857142857143" customWidth="1"/>
    <col min="3" max="3" width="10.8571428571429" customWidth="1"/>
    <col min="4" max="4" width="5" customWidth="1"/>
    <col min="5" max="5" width="8.14285714285714" customWidth="1"/>
    <col min="6" max="6" width="18.7142857142857" customWidth="1"/>
    <col min="7" max="7" width="6.85714285714286" customWidth="1"/>
    <col min="8" max="8" width="10.2857142857143" customWidth="1"/>
    <col min="9" max="9" width="11.4285714285714" customWidth="1"/>
    <col min="10" max="10" width="26.2857142857143" customWidth="1"/>
    <col min="11" max="11" width="29.8571428571429" customWidth="1"/>
  </cols>
  <sheetData>
    <row r="1" s="5" customFormat="1" spans="2:11"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47</v>
      </c>
      <c r="K1" s="8" t="s">
        <v>48</v>
      </c>
    </row>
    <row r="2" spans="1:11">
      <c r="A2" s="2">
        <v>1001</v>
      </c>
      <c r="B2" s="3" t="s">
        <v>11</v>
      </c>
      <c r="C2" s="1" t="s">
        <v>12</v>
      </c>
      <c r="D2" s="1">
        <v>30</v>
      </c>
      <c r="E2" s="1" t="s">
        <v>13</v>
      </c>
      <c r="F2" s="1" t="s">
        <v>14</v>
      </c>
      <c r="G2" s="1">
        <v>45000</v>
      </c>
      <c r="H2" s="4">
        <v>37197</v>
      </c>
      <c r="I2" s="4">
        <v>42253</v>
      </c>
      <c r="J2" s="1" t="str" cm="1">
        <f t="array" ref="J2:J10">CONCATENATE(B2:B10," ",C2:C10)</f>
        <v>Felix Parker</v>
      </c>
      <c r="K2" s="1" t="str" cm="1">
        <f t="array" ref="K2:K10">CONCATENATE(LOWER(B2:B10),"",LOWER(C2:C10),"@gmail.com")</f>
        <v>felixparker@gmail.com</v>
      </c>
    </row>
    <row r="3" spans="1:11">
      <c r="A3" s="2">
        <v>1002</v>
      </c>
      <c r="B3" s="1" t="s">
        <v>15</v>
      </c>
      <c r="C3" s="1" t="s">
        <v>16</v>
      </c>
      <c r="D3" s="1">
        <v>30</v>
      </c>
      <c r="E3" s="1" t="s">
        <v>17</v>
      </c>
      <c r="F3" s="1" t="s">
        <v>18</v>
      </c>
      <c r="G3" s="1">
        <v>36000</v>
      </c>
      <c r="H3" s="4">
        <v>36436</v>
      </c>
      <c r="I3" s="4">
        <v>42287</v>
      </c>
      <c r="J3" s="1" t="str">
        <v>Patience Williams</v>
      </c>
      <c r="K3" s="1" t="str">
        <v>patiencewilliams@gmail.com</v>
      </c>
    </row>
    <row r="4" spans="1:11">
      <c r="A4" s="2">
        <v>1003</v>
      </c>
      <c r="B4" s="1" t="s">
        <v>19</v>
      </c>
      <c r="C4" s="1" t="s">
        <v>20</v>
      </c>
      <c r="D4" s="1">
        <v>29</v>
      </c>
      <c r="E4" s="1" t="s">
        <v>13</v>
      </c>
      <c r="F4" s="1" t="s">
        <v>14</v>
      </c>
      <c r="G4" s="1">
        <v>63000</v>
      </c>
      <c r="H4" s="4">
        <v>36711</v>
      </c>
      <c r="I4" s="4">
        <v>42986</v>
      </c>
      <c r="J4" s="1" t="str">
        <v>Amos Alfred</v>
      </c>
      <c r="K4" s="1" t="str">
        <v>amosalfred@gmail.com</v>
      </c>
    </row>
    <row r="5" spans="1:11">
      <c r="A5" s="2">
        <v>1004</v>
      </c>
      <c r="B5" s="1" t="s">
        <v>21</v>
      </c>
      <c r="C5" s="1" t="s">
        <v>22</v>
      </c>
      <c r="D5" s="1">
        <v>31</v>
      </c>
      <c r="E5" s="1" t="s">
        <v>13</v>
      </c>
      <c r="F5" s="1" t="s">
        <v>23</v>
      </c>
      <c r="G5" s="1">
        <v>47000</v>
      </c>
      <c r="H5" s="4">
        <v>36530</v>
      </c>
      <c r="I5" s="4">
        <v>42341</v>
      </c>
      <c r="J5" s="1" t="str">
        <v>Deborah Palmer</v>
      </c>
      <c r="K5" s="1" t="str">
        <v>deborahpalmer@gmail.com</v>
      </c>
    </row>
    <row r="6" spans="1:11">
      <c r="A6" s="2">
        <v>1005</v>
      </c>
      <c r="B6" s="1" t="s">
        <v>24</v>
      </c>
      <c r="C6" s="1" t="s">
        <v>25</v>
      </c>
      <c r="D6" s="1">
        <v>32</v>
      </c>
      <c r="E6" s="1" t="s">
        <v>17</v>
      </c>
      <c r="F6" s="1" t="s">
        <v>26</v>
      </c>
      <c r="G6" s="1">
        <v>50000</v>
      </c>
      <c r="H6" s="4">
        <v>37017</v>
      </c>
      <c r="I6" s="4">
        <v>42977</v>
      </c>
      <c r="J6" s="1" t="str">
        <v>Praise Cole</v>
      </c>
      <c r="K6" s="1" t="str">
        <v>praisecole@gmail.com</v>
      </c>
    </row>
    <row r="7" spans="1:11">
      <c r="A7" s="2">
        <v>1006</v>
      </c>
      <c r="B7" s="1" t="s">
        <v>27</v>
      </c>
      <c r="C7" s="1" t="s">
        <v>28</v>
      </c>
      <c r="D7" s="1">
        <v>35</v>
      </c>
      <c r="E7" s="1" t="s">
        <v>13</v>
      </c>
      <c r="F7" s="1" t="s">
        <v>29</v>
      </c>
      <c r="G7" s="1">
        <v>65000</v>
      </c>
      <c r="H7" s="4">
        <v>35040</v>
      </c>
      <c r="I7" s="4">
        <v>41528</v>
      </c>
      <c r="J7" s="1" t="str">
        <v>John Hudson</v>
      </c>
      <c r="K7" s="1" t="str">
        <v>johnhudson@gmail.com</v>
      </c>
    </row>
    <row r="8" spans="1:11">
      <c r="A8" s="2">
        <v>1007</v>
      </c>
      <c r="B8" s="1" t="s">
        <v>30</v>
      </c>
      <c r="C8" s="1" t="s">
        <v>31</v>
      </c>
      <c r="D8" s="1">
        <v>32</v>
      </c>
      <c r="E8" s="1" t="s">
        <v>17</v>
      </c>
      <c r="F8" s="1" t="s">
        <v>32</v>
      </c>
      <c r="G8" s="1">
        <v>41000</v>
      </c>
      <c r="H8" s="4">
        <v>37933</v>
      </c>
      <c r="I8" s="4">
        <v>41551</v>
      </c>
      <c r="J8" s="1" t="str">
        <v>Peace Beasley</v>
      </c>
      <c r="K8" s="1" t="str">
        <v>peacebeasley@gmail.com</v>
      </c>
    </row>
    <row r="9" spans="1:11">
      <c r="A9" s="2">
        <v>1008</v>
      </c>
      <c r="B9" s="1" t="s">
        <v>33</v>
      </c>
      <c r="C9" s="1" t="s">
        <v>34</v>
      </c>
      <c r="D9" s="1">
        <v>38</v>
      </c>
      <c r="E9" s="1" t="s">
        <v>13</v>
      </c>
      <c r="F9" s="1" t="s">
        <v>14</v>
      </c>
      <c r="G9" s="1">
        <v>48000</v>
      </c>
      <c r="H9" s="4">
        <v>37416</v>
      </c>
      <c r="I9" s="4">
        <v>42116</v>
      </c>
      <c r="J9" s="1" t="str">
        <v>Martins MAlone</v>
      </c>
      <c r="K9" s="1" t="str">
        <v>martinsmalone@gmail.com</v>
      </c>
    </row>
    <row r="10" spans="1:11">
      <c r="A10" s="2">
        <v>1009</v>
      </c>
      <c r="B10" s="1" t="s">
        <v>35</v>
      </c>
      <c r="C10" s="1" t="s">
        <v>36</v>
      </c>
      <c r="D10" s="1">
        <v>31</v>
      </c>
      <c r="E10" s="1" t="s">
        <v>13</v>
      </c>
      <c r="F10" s="1" t="s">
        <v>23</v>
      </c>
      <c r="G10" s="1">
        <v>42000</v>
      </c>
      <c r="H10" s="4">
        <v>37843</v>
      </c>
      <c r="I10" s="4">
        <v>40800</v>
      </c>
      <c r="J10" s="1" t="str">
        <v>Scott Halpert</v>
      </c>
      <c r="K10" s="1" t="str">
        <v>scotthalpert@gmail.com</v>
      </c>
    </row>
    <row r="11" spans="2:11">
      <c r="B11" s="1"/>
      <c r="C11" s="1"/>
      <c r="E11" s="1"/>
      <c r="F11" s="1"/>
      <c r="G11" s="1"/>
      <c r="H11" s="1"/>
      <c r="I11" s="1"/>
      <c r="J11" s="1"/>
      <c r="K11" s="1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topLeftCell="J1" workbookViewId="0">
      <selection activeCell="J2" sqref="J2"/>
    </sheetView>
  </sheetViews>
  <sheetFormatPr defaultColWidth="9.14285714285714" defaultRowHeight="15"/>
  <cols>
    <col min="1" max="1" width="12.5714285714286" customWidth="1"/>
    <col min="2" max="2" width="11.2857142857143" customWidth="1"/>
    <col min="3" max="3" width="10.8571428571429" customWidth="1"/>
    <col min="4" max="4" width="5" customWidth="1"/>
    <col min="5" max="5" width="8.14285714285714" customWidth="1"/>
    <col min="6" max="6" width="18.7142857142857" customWidth="1"/>
    <col min="7" max="7" width="6.85714285714286" customWidth="1"/>
    <col min="8" max="8" width="10.2857142857143" style="6" customWidth="1"/>
    <col min="9" max="9" width="11.4285714285714" customWidth="1"/>
    <col min="10" max="11" width="38" customWidth="1"/>
    <col min="12" max="12" width="10.2857142857143"/>
  </cols>
  <sheetData>
    <row r="1" s="5" customFormat="1" spans="1:11">
      <c r="A1" s="7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49</v>
      </c>
      <c r="K1" s="8" t="s">
        <v>49</v>
      </c>
    </row>
    <row r="2" spans="1:12">
      <c r="A2" s="2">
        <v>1001</v>
      </c>
      <c r="B2" s="3" t="s">
        <v>11</v>
      </c>
      <c r="C2" s="1" t="s">
        <v>12</v>
      </c>
      <c r="D2" s="1">
        <v>30</v>
      </c>
      <c r="E2" s="1" t="s">
        <v>13</v>
      </c>
      <c r="F2" s="1" t="s">
        <v>14</v>
      </c>
      <c r="G2" s="1">
        <v>45000</v>
      </c>
      <c r="H2" s="10">
        <v>37197</v>
      </c>
      <c r="I2" s="4">
        <v>42253</v>
      </c>
      <c r="J2" s="1" t="str" cm="1">
        <f t="array" ref="J2:J10">SUBSTITUTE(TEXT(H2:H10,"dd/mm/yyyy"),"/","-",1)</f>
        <v>02-11/2001</v>
      </c>
      <c r="K2" s="1"/>
      <c r="L2" s="10"/>
    </row>
    <row r="3" spans="1:12">
      <c r="A3" s="2">
        <v>1002</v>
      </c>
      <c r="B3" s="1" t="s">
        <v>15</v>
      </c>
      <c r="C3" s="1" t="s">
        <v>16</v>
      </c>
      <c r="D3" s="1">
        <v>30</v>
      </c>
      <c r="E3" s="1" t="s">
        <v>17</v>
      </c>
      <c r="F3" s="1" t="s">
        <v>18</v>
      </c>
      <c r="G3" s="1">
        <v>36000</v>
      </c>
      <c r="H3" s="10">
        <v>36436</v>
      </c>
      <c r="I3" s="4">
        <v>42287</v>
      </c>
      <c r="J3" s="1" t="str">
        <v>03-10/1999</v>
      </c>
      <c r="K3" s="1"/>
      <c r="L3" s="10"/>
    </row>
    <row r="4" spans="1:12">
      <c r="A4" s="2">
        <v>1003</v>
      </c>
      <c r="B4" s="1" t="s">
        <v>19</v>
      </c>
      <c r="C4" s="1" t="s">
        <v>20</v>
      </c>
      <c r="D4" s="1">
        <v>29</v>
      </c>
      <c r="E4" s="1" t="s">
        <v>13</v>
      </c>
      <c r="F4" s="1" t="s">
        <v>14</v>
      </c>
      <c r="G4" s="1">
        <v>63000</v>
      </c>
      <c r="H4" s="10">
        <v>36711</v>
      </c>
      <c r="I4" s="4">
        <v>42986</v>
      </c>
      <c r="J4" s="1" t="str">
        <v>04-07/2000</v>
      </c>
      <c r="K4" s="1"/>
      <c r="L4" s="10"/>
    </row>
    <row r="5" spans="1:12">
      <c r="A5" s="2">
        <v>1004</v>
      </c>
      <c r="B5" s="1" t="s">
        <v>21</v>
      </c>
      <c r="C5" s="1" t="s">
        <v>22</v>
      </c>
      <c r="D5" s="1">
        <v>31</v>
      </c>
      <c r="E5" s="1" t="s">
        <v>13</v>
      </c>
      <c r="F5" s="1" t="s">
        <v>23</v>
      </c>
      <c r="G5" s="1">
        <v>47000</v>
      </c>
      <c r="H5" s="10">
        <v>36530</v>
      </c>
      <c r="I5" s="4">
        <v>42341</v>
      </c>
      <c r="J5" s="1" t="str">
        <v>05-01/2000</v>
      </c>
      <c r="K5" s="1"/>
      <c r="L5" s="10"/>
    </row>
    <row r="6" spans="1:12">
      <c r="A6" s="2">
        <v>1005</v>
      </c>
      <c r="B6" s="1" t="s">
        <v>24</v>
      </c>
      <c r="C6" s="1" t="s">
        <v>25</v>
      </c>
      <c r="D6" s="1">
        <v>32</v>
      </c>
      <c r="E6" s="1" t="s">
        <v>17</v>
      </c>
      <c r="F6" s="1" t="s">
        <v>26</v>
      </c>
      <c r="G6" s="1">
        <v>50000</v>
      </c>
      <c r="H6" s="10">
        <v>37017</v>
      </c>
      <c r="I6" s="4">
        <v>42977</v>
      </c>
      <c r="J6" s="1" t="str">
        <v>06-05/2001</v>
      </c>
      <c r="K6" s="1"/>
      <c r="L6" s="10"/>
    </row>
    <row r="7" spans="1:12">
      <c r="A7" s="2">
        <v>1006</v>
      </c>
      <c r="B7" s="1" t="s">
        <v>27</v>
      </c>
      <c r="C7" s="1" t="s">
        <v>28</v>
      </c>
      <c r="D7" s="1">
        <v>35</v>
      </c>
      <c r="E7" s="1" t="s">
        <v>13</v>
      </c>
      <c r="F7" s="1" t="s">
        <v>29</v>
      </c>
      <c r="G7" s="1">
        <v>65000</v>
      </c>
      <c r="H7" s="10">
        <v>35040</v>
      </c>
      <c r="I7" s="4">
        <v>41528</v>
      </c>
      <c r="J7" s="1" t="str">
        <v>07-12/1995</v>
      </c>
      <c r="K7" s="1"/>
      <c r="L7" s="10"/>
    </row>
    <row r="8" spans="1:12">
      <c r="A8" s="2">
        <v>1007</v>
      </c>
      <c r="B8" s="1" t="s">
        <v>30</v>
      </c>
      <c r="C8" s="1" t="s">
        <v>31</v>
      </c>
      <c r="D8" s="1">
        <v>32</v>
      </c>
      <c r="E8" s="1" t="s">
        <v>17</v>
      </c>
      <c r="F8" s="1" t="s">
        <v>32</v>
      </c>
      <c r="G8" s="1">
        <v>41000</v>
      </c>
      <c r="H8" s="10">
        <v>37933</v>
      </c>
      <c r="I8" s="4">
        <v>41551</v>
      </c>
      <c r="J8" s="1" t="str">
        <v>08-11/2003</v>
      </c>
      <c r="K8" s="1"/>
      <c r="L8" s="10"/>
    </row>
    <row r="9" spans="1:12">
      <c r="A9" s="2">
        <v>1008</v>
      </c>
      <c r="B9" s="1" t="s">
        <v>33</v>
      </c>
      <c r="C9" s="1" t="s">
        <v>34</v>
      </c>
      <c r="D9" s="1">
        <v>38</v>
      </c>
      <c r="E9" s="1" t="s">
        <v>13</v>
      </c>
      <c r="F9" s="1" t="s">
        <v>14</v>
      </c>
      <c r="G9" s="1">
        <v>48000</v>
      </c>
      <c r="H9" s="10">
        <v>37781</v>
      </c>
      <c r="I9" s="4">
        <v>42116</v>
      </c>
      <c r="J9" s="1" t="str">
        <v>09-06/2003</v>
      </c>
      <c r="K9" s="1"/>
      <c r="L9" s="10"/>
    </row>
    <row r="10" spans="1:12">
      <c r="A10" s="2">
        <v>1009</v>
      </c>
      <c r="B10" s="1" t="s">
        <v>35</v>
      </c>
      <c r="C10" s="1" t="s">
        <v>36</v>
      </c>
      <c r="D10" s="1">
        <v>31</v>
      </c>
      <c r="E10" s="1" t="s">
        <v>13</v>
      </c>
      <c r="F10" s="1" t="s">
        <v>23</v>
      </c>
      <c r="G10" s="1">
        <v>42000</v>
      </c>
      <c r="H10" s="10">
        <v>37843</v>
      </c>
      <c r="I10" s="4">
        <v>40800</v>
      </c>
      <c r="J10" s="1" t="str">
        <v>10-08/2003</v>
      </c>
      <c r="K10" s="1"/>
      <c r="L10" s="10"/>
    </row>
    <row r="11" spans="2:11">
      <c r="B11" s="1"/>
      <c r="C11" s="1"/>
      <c r="E11" s="1"/>
      <c r="F11" s="1"/>
      <c r="G11" s="1"/>
      <c r="H11" s="10"/>
      <c r="I11" s="1"/>
      <c r="J11" s="1"/>
      <c r="K11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A1" sqref="A1:K11"/>
    </sheetView>
  </sheetViews>
  <sheetFormatPr defaultColWidth="9.14285714285714" defaultRowHeight="15"/>
  <sheetData>
    <row r="1" spans="1:11">
      <c r="A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50</v>
      </c>
      <c r="K1" s="1" t="s">
        <v>51</v>
      </c>
    </row>
    <row r="2" spans="1:11">
      <c r="A2" s="2">
        <v>1001</v>
      </c>
      <c r="B2" s="3" t="s">
        <v>11</v>
      </c>
      <c r="C2" s="1" t="s">
        <v>12</v>
      </c>
      <c r="D2" s="1">
        <v>30</v>
      </c>
      <c r="E2" s="1" t="s">
        <v>13</v>
      </c>
      <c r="F2" s="1" t="s">
        <v>14</v>
      </c>
      <c r="G2" s="1">
        <v>45000</v>
      </c>
      <c r="H2" s="4">
        <v>37197</v>
      </c>
      <c r="I2" s="4">
        <v>42253</v>
      </c>
      <c r="J2" s="1"/>
      <c r="K2" s="1"/>
    </row>
    <row r="3" spans="1:11">
      <c r="A3" s="2">
        <v>1002</v>
      </c>
      <c r="B3" s="1" t="s">
        <v>15</v>
      </c>
      <c r="C3" s="1" t="s">
        <v>16</v>
      </c>
      <c r="D3" s="1">
        <v>30</v>
      </c>
      <c r="E3" s="1" t="s">
        <v>17</v>
      </c>
      <c r="F3" s="1" t="s">
        <v>18</v>
      </c>
      <c r="G3" s="1">
        <v>36000</v>
      </c>
      <c r="H3" s="4">
        <v>36436</v>
      </c>
      <c r="I3" s="4">
        <v>42287</v>
      </c>
      <c r="J3" s="1"/>
      <c r="K3" s="1"/>
    </row>
    <row r="4" spans="1:11">
      <c r="A4" s="2">
        <v>1003</v>
      </c>
      <c r="B4" s="1" t="s">
        <v>19</v>
      </c>
      <c r="C4" s="1" t="s">
        <v>20</v>
      </c>
      <c r="D4" s="1">
        <v>29</v>
      </c>
      <c r="E4" s="1" t="s">
        <v>13</v>
      </c>
      <c r="F4" s="1" t="s">
        <v>14</v>
      </c>
      <c r="G4" s="1">
        <v>63000</v>
      </c>
      <c r="H4" s="4">
        <v>36711</v>
      </c>
      <c r="I4" s="4">
        <v>42986</v>
      </c>
      <c r="J4" s="1"/>
      <c r="K4" s="1"/>
    </row>
    <row r="5" spans="1:11">
      <c r="A5" s="2">
        <v>1004</v>
      </c>
      <c r="B5" s="1" t="s">
        <v>21</v>
      </c>
      <c r="C5" s="1" t="s">
        <v>22</v>
      </c>
      <c r="D5" s="1">
        <v>31</v>
      </c>
      <c r="E5" s="1" t="s">
        <v>13</v>
      </c>
      <c r="F5" s="1" t="s">
        <v>23</v>
      </c>
      <c r="G5" s="1">
        <v>47000</v>
      </c>
      <c r="H5" s="4">
        <v>36530</v>
      </c>
      <c r="I5" s="4">
        <v>42341</v>
      </c>
      <c r="J5" s="1"/>
      <c r="K5" s="1"/>
    </row>
    <row r="6" spans="1:11">
      <c r="A6" s="2">
        <v>1005</v>
      </c>
      <c r="B6" s="1" t="s">
        <v>24</v>
      </c>
      <c r="C6" s="1" t="s">
        <v>25</v>
      </c>
      <c r="D6" s="1">
        <v>32</v>
      </c>
      <c r="E6" s="1" t="s">
        <v>17</v>
      </c>
      <c r="F6" s="1" t="s">
        <v>26</v>
      </c>
      <c r="G6" s="1">
        <v>50000</v>
      </c>
      <c r="H6" s="4">
        <v>37017</v>
      </c>
      <c r="I6" s="4">
        <v>42977</v>
      </c>
      <c r="J6" s="1"/>
      <c r="K6" s="1"/>
    </row>
    <row r="7" spans="1:11">
      <c r="A7" s="2">
        <v>1006</v>
      </c>
      <c r="B7" s="1" t="s">
        <v>27</v>
      </c>
      <c r="C7" s="1" t="s">
        <v>28</v>
      </c>
      <c r="D7" s="1">
        <v>35</v>
      </c>
      <c r="E7" s="1" t="s">
        <v>13</v>
      </c>
      <c r="F7" s="1" t="s">
        <v>29</v>
      </c>
      <c r="G7" s="1">
        <v>65000</v>
      </c>
      <c r="H7" s="4">
        <v>35040</v>
      </c>
      <c r="I7" s="4">
        <v>41528</v>
      </c>
      <c r="J7" s="1"/>
      <c r="K7" s="1"/>
    </row>
    <row r="8" spans="1:11">
      <c r="A8" s="2">
        <v>1007</v>
      </c>
      <c r="B8" s="1" t="s">
        <v>30</v>
      </c>
      <c r="C8" s="1" t="s">
        <v>31</v>
      </c>
      <c r="D8" s="1">
        <v>32</v>
      </c>
      <c r="E8" s="1" t="s">
        <v>17</v>
      </c>
      <c r="F8" s="1" t="s">
        <v>32</v>
      </c>
      <c r="G8" s="1">
        <v>41000</v>
      </c>
      <c r="H8" s="4">
        <v>37933</v>
      </c>
      <c r="I8" s="4">
        <v>41551</v>
      </c>
      <c r="J8" s="1"/>
      <c r="K8" s="1"/>
    </row>
    <row r="9" spans="1:11">
      <c r="A9" s="2">
        <v>1008</v>
      </c>
      <c r="B9" s="1" t="s">
        <v>33</v>
      </c>
      <c r="C9" s="1" t="s">
        <v>34</v>
      </c>
      <c r="D9" s="1">
        <v>38</v>
      </c>
      <c r="E9" s="1" t="s">
        <v>13</v>
      </c>
      <c r="F9" s="1" t="s">
        <v>14</v>
      </c>
      <c r="G9" s="1">
        <v>48000</v>
      </c>
      <c r="H9" s="4">
        <v>37416</v>
      </c>
      <c r="I9" s="4">
        <v>42116</v>
      </c>
      <c r="J9" s="1"/>
      <c r="K9" s="1"/>
    </row>
    <row r="10" spans="1:11">
      <c r="A10" s="2">
        <v>1009</v>
      </c>
      <c r="B10" s="1" t="s">
        <v>35</v>
      </c>
      <c r="C10" s="1" t="s">
        <v>36</v>
      </c>
      <c r="D10" s="1">
        <v>31</v>
      </c>
      <c r="E10" s="1" t="s">
        <v>13</v>
      </c>
      <c r="F10" s="1" t="s">
        <v>23</v>
      </c>
      <c r="G10" s="1">
        <v>42000</v>
      </c>
      <c r="H10" s="4">
        <v>37843</v>
      </c>
      <c r="I10" s="4">
        <v>40800</v>
      </c>
      <c r="J10" s="1"/>
      <c r="K10" s="1"/>
    </row>
    <row r="11" spans="2:11">
      <c r="B11" s="1"/>
      <c r="C11" s="1"/>
      <c r="E11" s="1"/>
      <c r="F11" s="1"/>
      <c r="G11" s="1"/>
      <c r="H11" s="1"/>
      <c r="I11" s="1"/>
      <c r="J11" s="1"/>
      <c r="K11" s="1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A1" sqref="A1:K11"/>
    </sheetView>
  </sheetViews>
  <sheetFormatPr defaultColWidth="9.14285714285714" defaultRowHeight="15"/>
  <sheetData>
    <row r="1" spans="1:11">
      <c r="A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50</v>
      </c>
      <c r="K1" s="1" t="s">
        <v>51</v>
      </c>
    </row>
    <row r="2" spans="1:11">
      <c r="A2" s="2">
        <v>1001</v>
      </c>
      <c r="B2" s="3" t="s">
        <v>11</v>
      </c>
      <c r="C2" s="1" t="s">
        <v>12</v>
      </c>
      <c r="D2" s="1">
        <v>30</v>
      </c>
      <c r="E2" s="1" t="s">
        <v>13</v>
      </c>
      <c r="F2" s="1" t="s">
        <v>14</v>
      </c>
      <c r="G2" s="1">
        <v>45000</v>
      </c>
      <c r="H2" s="4">
        <v>37197</v>
      </c>
      <c r="I2" s="4">
        <v>42253</v>
      </c>
      <c r="J2" s="1"/>
      <c r="K2" s="1"/>
    </row>
    <row r="3" spans="1:11">
      <c r="A3" s="2">
        <v>1002</v>
      </c>
      <c r="B3" s="1" t="s">
        <v>15</v>
      </c>
      <c r="C3" s="1" t="s">
        <v>16</v>
      </c>
      <c r="D3" s="1">
        <v>30</v>
      </c>
      <c r="E3" s="1" t="s">
        <v>17</v>
      </c>
      <c r="F3" s="1" t="s">
        <v>18</v>
      </c>
      <c r="G3" s="1">
        <v>36000</v>
      </c>
      <c r="H3" s="4">
        <v>36436</v>
      </c>
      <c r="I3" s="4">
        <v>42287</v>
      </c>
      <c r="J3" s="1"/>
      <c r="K3" s="1"/>
    </row>
    <row r="4" spans="1:11">
      <c r="A4" s="2">
        <v>1003</v>
      </c>
      <c r="B4" s="1" t="s">
        <v>19</v>
      </c>
      <c r="C4" s="1" t="s">
        <v>20</v>
      </c>
      <c r="D4" s="1">
        <v>29</v>
      </c>
      <c r="E4" s="1" t="s">
        <v>13</v>
      </c>
      <c r="F4" s="1" t="s">
        <v>14</v>
      </c>
      <c r="G4" s="1">
        <v>63000</v>
      </c>
      <c r="H4" s="4">
        <v>36711</v>
      </c>
      <c r="I4" s="4">
        <v>42986</v>
      </c>
      <c r="J4" s="1"/>
      <c r="K4" s="1"/>
    </row>
    <row r="5" spans="1:11">
      <c r="A5" s="2">
        <v>1004</v>
      </c>
      <c r="B5" s="1" t="s">
        <v>21</v>
      </c>
      <c r="C5" s="1" t="s">
        <v>22</v>
      </c>
      <c r="D5" s="1">
        <v>31</v>
      </c>
      <c r="E5" s="1" t="s">
        <v>13</v>
      </c>
      <c r="F5" s="1" t="s">
        <v>23</v>
      </c>
      <c r="G5" s="1">
        <v>47000</v>
      </c>
      <c r="H5" s="4">
        <v>36530</v>
      </c>
      <c r="I5" s="4">
        <v>42341</v>
      </c>
      <c r="J5" s="1"/>
      <c r="K5" s="1"/>
    </row>
    <row r="6" spans="1:11">
      <c r="A6" s="2">
        <v>1005</v>
      </c>
      <c r="B6" s="1" t="s">
        <v>24</v>
      </c>
      <c r="C6" s="1" t="s">
        <v>25</v>
      </c>
      <c r="D6" s="1">
        <v>32</v>
      </c>
      <c r="E6" s="1" t="s">
        <v>17</v>
      </c>
      <c r="F6" s="1" t="s">
        <v>26</v>
      </c>
      <c r="G6" s="1">
        <v>50000</v>
      </c>
      <c r="H6" s="4">
        <v>37017</v>
      </c>
      <c r="I6" s="4">
        <v>42977</v>
      </c>
      <c r="J6" s="1"/>
      <c r="K6" s="1"/>
    </row>
    <row r="7" spans="1:11">
      <c r="A7" s="2">
        <v>1006</v>
      </c>
      <c r="B7" s="1" t="s">
        <v>27</v>
      </c>
      <c r="C7" s="1" t="s">
        <v>28</v>
      </c>
      <c r="D7" s="1">
        <v>35</v>
      </c>
      <c r="E7" s="1" t="s">
        <v>13</v>
      </c>
      <c r="F7" s="1" t="s">
        <v>29</v>
      </c>
      <c r="G7" s="1">
        <v>65000</v>
      </c>
      <c r="H7" s="4">
        <v>35040</v>
      </c>
      <c r="I7" s="4">
        <v>41528</v>
      </c>
      <c r="J7" s="1"/>
      <c r="K7" s="1"/>
    </row>
    <row r="8" spans="1:11">
      <c r="A8" s="2">
        <v>1007</v>
      </c>
      <c r="B8" s="1" t="s">
        <v>30</v>
      </c>
      <c r="C8" s="1" t="s">
        <v>31</v>
      </c>
      <c r="D8" s="1">
        <v>32</v>
      </c>
      <c r="E8" s="1" t="s">
        <v>17</v>
      </c>
      <c r="F8" s="1" t="s">
        <v>32</v>
      </c>
      <c r="G8" s="1">
        <v>41000</v>
      </c>
      <c r="H8" s="4">
        <v>37933</v>
      </c>
      <c r="I8" s="4">
        <v>41551</v>
      </c>
      <c r="J8" s="1"/>
      <c r="K8" s="1"/>
    </row>
    <row r="9" spans="1:11">
      <c r="A9" s="2">
        <v>1008</v>
      </c>
      <c r="B9" s="1" t="s">
        <v>33</v>
      </c>
      <c r="C9" s="1" t="s">
        <v>34</v>
      </c>
      <c r="D9" s="1">
        <v>38</v>
      </c>
      <c r="E9" s="1" t="s">
        <v>13</v>
      </c>
      <c r="F9" s="1" t="s">
        <v>14</v>
      </c>
      <c r="G9" s="1">
        <v>48000</v>
      </c>
      <c r="H9" s="4">
        <v>37416</v>
      </c>
      <c r="I9" s="4">
        <v>42116</v>
      </c>
      <c r="J9" s="1"/>
      <c r="K9" s="1"/>
    </row>
    <row r="10" spans="1:11">
      <c r="A10" s="2">
        <v>1009</v>
      </c>
      <c r="B10" s="1" t="s">
        <v>35</v>
      </c>
      <c r="C10" s="1" t="s">
        <v>36</v>
      </c>
      <c r="D10" s="1">
        <v>31</v>
      </c>
      <c r="E10" s="1" t="s">
        <v>13</v>
      </c>
      <c r="F10" s="1" t="s">
        <v>23</v>
      </c>
      <c r="G10" s="1">
        <v>42000</v>
      </c>
      <c r="H10" s="4">
        <v>37843</v>
      </c>
      <c r="I10" s="4">
        <v>40800</v>
      </c>
      <c r="J10" s="1"/>
      <c r="K10" s="1"/>
    </row>
    <row r="11" spans="2:11">
      <c r="B11" s="1"/>
      <c r="C11" s="1"/>
      <c r="E11" s="1"/>
      <c r="F11" s="1"/>
      <c r="G11" s="1"/>
      <c r="H11" s="1"/>
      <c r="I11" s="1"/>
      <c r="J11" s="1"/>
      <c r="K11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A1" sqref="A1:K11"/>
    </sheetView>
  </sheetViews>
  <sheetFormatPr defaultColWidth="9.14285714285714" defaultRowHeight="15"/>
  <sheetData>
    <row r="1" spans="1:11">
      <c r="A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50</v>
      </c>
      <c r="K1" s="1" t="s">
        <v>51</v>
      </c>
    </row>
    <row r="2" spans="1:11">
      <c r="A2" s="2">
        <v>1001</v>
      </c>
      <c r="B2" s="3" t="s">
        <v>11</v>
      </c>
      <c r="C2" s="1" t="s">
        <v>12</v>
      </c>
      <c r="D2" s="1">
        <v>30</v>
      </c>
      <c r="E2" s="1" t="s">
        <v>13</v>
      </c>
      <c r="F2" s="1" t="s">
        <v>14</v>
      </c>
      <c r="G2" s="1">
        <v>45000</v>
      </c>
      <c r="H2" s="4">
        <v>37197</v>
      </c>
      <c r="I2" s="4">
        <v>42253</v>
      </c>
      <c r="J2" s="1"/>
      <c r="K2" s="1"/>
    </row>
    <row r="3" spans="1:11">
      <c r="A3" s="2">
        <v>1002</v>
      </c>
      <c r="B3" s="1" t="s">
        <v>15</v>
      </c>
      <c r="C3" s="1" t="s">
        <v>16</v>
      </c>
      <c r="D3" s="1">
        <v>30</v>
      </c>
      <c r="E3" s="1" t="s">
        <v>17</v>
      </c>
      <c r="F3" s="1" t="s">
        <v>18</v>
      </c>
      <c r="G3" s="1">
        <v>36000</v>
      </c>
      <c r="H3" s="4">
        <v>36436</v>
      </c>
      <c r="I3" s="4">
        <v>42287</v>
      </c>
      <c r="J3" s="1"/>
      <c r="K3" s="1"/>
    </row>
    <row r="4" spans="1:11">
      <c r="A4" s="2">
        <v>1003</v>
      </c>
      <c r="B4" s="1" t="s">
        <v>19</v>
      </c>
      <c r="C4" s="1" t="s">
        <v>20</v>
      </c>
      <c r="D4" s="1">
        <v>29</v>
      </c>
      <c r="E4" s="1" t="s">
        <v>13</v>
      </c>
      <c r="F4" s="1" t="s">
        <v>14</v>
      </c>
      <c r="G4" s="1">
        <v>63000</v>
      </c>
      <c r="H4" s="4">
        <v>36711</v>
      </c>
      <c r="I4" s="4">
        <v>42986</v>
      </c>
      <c r="J4" s="1"/>
      <c r="K4" s="1"/>
    </row>
    <row r="5" spans="1:11">
      <c r="A5" s="2">
        <v>1004</v>
      </c>
      <c r="B5" s="1" t="s">
        <v>21</v>
      </c>
      <c r="C5" s="1" t="s">
        <v>22</v>
      </c>
      <c r="D5" s="1">
        <v>31</v>
      </c>
      <c r="E5" s="1" t="s">
        <v>13</v>
      </c>
      <c r="F5" s="1" t="s">
        <v>23</v>
      </c>
      <c r="G5" s="1">
        <v>47000</v>
      </c>
      <c r="H5" s="4">
        <v>36530</v>
      </c>
      <c r="I5" s="4">
        <v>42341</v>
      </c>
      <c r="J5" s="1"/>
      <c r="K5" s="1"/>
    </row>
    <row r="6" spans="1:11">
      <c r="A6" s="2">
        <v>1005</v>
      </c>
      <c r="B6" s="1" t="s">
        <v>24</v>
      </c>
      <c r="C6" s="1" t="s">
        <v>25</v>
      </c>
      <c r="D6" s="1">
        <v>32</v>
      </c>
      <c r="E6" s="1" t="s">
        <v>17</v>
      </c>
      <c r="F6" s="1" t="s">
        <v>26</v>
      </c>
      <c r="G6" s="1">
        <v>50000</v>
      </c>
      <c r="H6" s="4">
        <v>37017</v>
      </c>
      <c r="I6" s="4">
        <v>42977</v>
      </c>
      <c r="J6" s="1"/>
      <c r="K6" s="1"/>
    </row>
    <row r="7" spans="1:11">
      <c r="A7" s="2">
        <v>1006</v>
      </c>
      <c r="B7" s="1" t="s">
        <v>27</v>
      </c>
      <c r="C7" s="1" t="s">
        <v>28</v>
      </c>
      <c r="D7" s="1">
        <v>35</v>
      </c>
      <c r="E7" s="1" t="s">
        <v>13</v>
      </c>
      <c r="F7" s="1" t="s">
        <v>29</v>
      </c>
      <c r="G7" s="1">
        <v>65000</v>
      </c>
      <c r="H7" s="4">
        <v>35040</v>
      </c>
      <c r="I7" s="4">
        <v>41528</v>
      </c>
      <c r="J7" s="1"/>
      <c r="K7" s="1"/>
    </row>
    <row r="8" spans="1:11">
      <c r="A8" s="2">
        <v>1007</v>
      </c>
      <c r="B8" s="1" t="s">
        <v>30</v>
      </c>
      <c r="C8" s="1" t="s">
        <v>31</v>
      </c>
      <c r="D8" s="1">
        <v>32</v>
      </c>
      <c r="E8" s="1" t="s">
        <v>17</v>
      </c>
      <c r="F8" s="1" t="s">
        <v>32</v>
      </c>
      <c r="G8" s="1">
        <v>41000</v>
      </c>
      <c r="H8" s="4">
        <v>37933</v>
      </c>
      <c r="I8" s="4">
        <v>41551</v>
      </c>
      <c r="J8" s="1"/>
      <c r="K8" s="1"/>
    </row>
    <row r="9" spans="1:11">
      <c r="A9" s="2">
        <v>1008</v>
      </c>
      <c r="B9" s="1" t="s">
        <v>33</v>
      </c>
      <c r="C9" s="1" t="s">
        <v>34</v>
      </c>
      <c r="D9" s="1">
        <v>38</v>
      </c>
      <c r="E9" s="1" t="s">
        <v>13</v>
      </c>
      <c r="F9" s="1" t="s">
        <v>14</v>
      </c>
      <c r="G9" s="1">
        <v>48000</v>
      </c>
      <c r="H9" s="4">
        <v>37416</v>
      </c>
      <c r="I9" s="4">
        <v>42116</v>
      </c>
      <c r="J9" s="1"/>
      <c r="K9" s="1"/>
    </row>
    <row r="10" spans="1:11">
      <c r="A10" s="2">
        <v>1009</v>
      </c>
      <c r="B10" s="1" t="s">
        <v>35</v>
      </c>
      <c r="C10" s="1" t="s">
        <v>36</v>
      </c>
      <c r="D10" s="1">
        <v>31</v>
      </c>
      <c r="E10" s="1" t="s">
        <v>13</v>
      </c>
      <c r="F10" s="1" t="s">
        <v>23</v>
      </c>
      <c r="G10" s="1">
        <v>42000</v>
      </c>
      <c r="H10" s="4">
        <v>37843</v>
      </c>
      <c r="I10" s="4">
        <v>40800</v>
      </c>
      <c r="J10" s="1"/>
      <c r="K10" s="1"/>
    </row>
    <row r="11" spans="2:11">
      <c r="B11" s="1"/>
      <c r="C11" s="1"/>
      <c r="E11" s="1"/>
      <c r="F11" s="1"/>
      <c r="G11" s="1"/>
      <c r="H11" s="1"/>
      <c r="I11" s="1"/>
      <c r="J11" s="1"/>
      <c r="K1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MAX&amp;MIN</vt:lpstr>
      <vt:lpstr>IF-Family</vt:lpstr>
      <vt:lpstr>LENGTH</vt:lpstr>
      <vt:lpstr>LEFT&amp;RIGHT</vt:lpstr>
      <vt:lpstr>DATE TO TEXT</vt:lpstr>
      <vt:lpstr>TRIM</vt:lpstr>
      <vt:lpstr>CONCATENATE</vt:lpstr>
      <vt:lpstr>SUBSTITUTE</vt:lpstr>
      <vt:lpstr>Sheet9</vt:lpstr>
      <vt:lpstr>Sheet10</vt:lpstr>
      <vt:lpstr>Sheet11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Fagbohunka Vincent</dc:creator>
  <cp:lastModifiedBy>Fagbohunka Vincent</cp:lastModifiedBy>
  <dcterms:created xsi:type="dcterms:W3CDTF">2026-08-13T15:11:00Z</dcterms:created>
  <dcterms:modified xsi:type="dcterms:W3CDTF">2026-08-15T18:01:33Z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00D36EB431CE4282930089F41E49E077_11</vt:lpwstr>
  </property>
  <property fmtid="{D5CDD505-2E9C-101B-9397-08002B2CF9AE}" pid="3" name="KSOProductBuildVer">
    <vt:lpwstr>1033-12.2.0.23196</vt:lpwstr>
  </property>
</Properties>
</file>