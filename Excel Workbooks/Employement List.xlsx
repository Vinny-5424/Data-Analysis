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16" i="1" l="1"/>
  <c r="J16" i="1"/>
  <c r="K16" i="1"/>
  <c r="I17" i="1"/>
  <c r="J17" i="1"/>
  <c r="K17" i="1"/>
  <c r="I18" i="1"/>
  <c r="J18" i="1"/>
  <c r="K18" i="1"/>
  <c r="H18" i="1"/>
  <c r="H17" i="1"/>
  <c r="H16" i="1"/>
  <c r="D16" i="1"/>
  <c r="E16" i="1"/>
  <c r="F16" i="1"/>
  <c r="D17" i="1"/>
  <c r="E17" i="1"/>
  <c r="F17" i="1"/>
  <c r="D18" i="1"/>
  <c r="E18" i="1"/>
  <c r="F18" i="1"/>
  <c r="C18" i="1"/>
  <c r="C17" i="1"/>
  <c r="C16" i="1"/>
  <c r="M5" i="1" l="1"/>
  <c r="M6" i="1"/>
  <c r="M7" i="1"/>
  <c r="M8" i="1"/>
  <c r="M9" i="1"/>
  <c r="M10" i="1"/>
  <c r="M11" i="1"/>
  <c r="M12" i="1"/>
  <c r="M13" i="1"/>
  <c r="M4" i="1"/>
  <c r="H4" i="1"/>
  <c r="H1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H5" i="1"/>
  <c r="H6" i="1"/>
  <c r="H7" i="1"/>
  <c r="H8" i="1"/>
  <c r="H9" i="1"/>
  <c r="H10" i="1"/>
  <c r="H11" i="1"/>
  <c r="H12" i="1"/>
</calcChain>
</file>

<file path=xl/sharedStrings.xml><?xml version="1.0" encoding="utf-8"?>
<sst xmlns="http://schemas.openxmlformats.org/spreadsheetml/2006/main" count="41" uniqueCount="40">
  <si>
    <t>GRADEBOOK</t>
  </si>
  <si>
    <t>First Name</t>
  </si>
  <si>
    <t>Last Name</t>
  </si>
  <si>
    <t>Peter</t>
  </si>
  <si>
    <t>Jackson</t>
  </si>
  <si>
    <t>Fredick</t>
  </si>
  <si>
    <t>Enzo</t>
  </si>
  <si>
    <t>Williams</t>
  </si>
  <si>
    <t>Yamal</t>
  </si>
  <si>
    <t>Lionel</t>
  </si>
  <si>
    <t>James</t>
  </si>
  <si>
    <t>Dan</t>
  </si>
  <si>
    <t>Roland</t>
  </si>
  <si>
    <t>Leo</t>
  </si>
  <si>
    <t>Aderibigbe</t>
  </si>
  <si>
    <t>Babalola</t>
  </si>
  <si>
    <t>Fawole</t>
  </si>
  <si>
    <t>Tyler</t>
  </si>
  <si>
    <t>Sola</t>
  </si>
  <si>
    <t>Caroline</t>
  </si>
  <si>
    <t>Jide</t>
  </si>
  <si>
    <t>Safety Test</t>
  </si>
  <si>
    <t>Company Philosophy  Test</t>
  </si>
  <si>
    <t>Financial Skill Test</t>
  </si>
  <si>
    <t>Drug Test</t>
  </si>
  <si>
    <t>Point Possible</t>
  </si>
  <si>
    <t xml:space="preserve"> </t>
  </si>
  <si>
    <t>Uthu</t>
  </si>
  <si>
    <t>Kehinde</t>
  </si>
  <si>
    <t>Fire(F) or Employee(T)</t>
  </si>
  <si>
    <t>Safety Test(%)</t>
  </si>
  <si>
    <r>
      <t>Company Philosophy  Test (</t>
    </r>
    <r>
      <rPr>
        <b/>
        <strike/>
        <sz val="11"/>
        <color theme="1"/>
        <rFont val="Calibri"/>
        <family val="2"/>
        <scheme val="minor"/>
      </rPr>
      <t>%)</t>
    </r>
  </si>
  <si>
    <t>Financial Skill Test (%)</t>
  </si>
  <si>
    <t>Drug Test (%)</t>
  </si>
  <si>
    <t>Maximum</t>
  </si>
  <si>
    <t>Minimum</t>
  </si>
  <si>
    <t>Average</t>
  </si>
  <si>
    <t>SAFETY TEST</t>
  </si>
  <si>
    <t>COMPANY PHILOSOPHY TEST</t>
  </si>
  <si>
    <t>FINANCIAL SKILL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</si>
</sst>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  <xf numFmtId="0" fontId="2" fillId="0" borderId="0" xfId="0" applyFont="1" applyAlignment="1">
      <alignment textRotation="90"/>
    </xf>
    <xf numFmtId="0" fontId="2" fillId="0" borderId="0" xfId="0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0499117938127E-2"/>
          <c:y val="7.4548702245552642E-2"/>
          <c:w val="0.75626909341250381"/>
          <c:h val="0.832619568387284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Sheet1!$C$4:$C$13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9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194176"/>
        <c:axId val="38209792"/>
      </c:barChart>
      <c:catAx>
        <c:axId val="38194176"/>
        <c:scaling>
          <c:orientation val="minMax"/>
        </c:scaling>
        <c:delete val="0"/>
        <c:axPos val="b"/>
        <c:majorTickMark val="out"/>
        <c:minorTickMark val="none"/>
        <c:tickLblPos val="nextTo"/>
        <c:crossAx val="38209792"/>
        <c:crosses val="autoZero"/>
        <c:auto val="1"/>
        <c:lblAlgn val="ctr"/>
        <c:lblOffset val="100"/>
        <c:noMultiLvlLbl val="0"/>
      </c:catAx>
      <c:valAx>
        <c:axId val="3820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194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Sheet1!$D$4:$D$13</c:f>
              <c:numCache>
                <c:formatCode>General</c:formatCode>
                <c:ptCount val="10"/>
                <c:pt idx="0">
                  <c:v>15</c:v>
                </c:pt>
                <c:pt idx="1">
                  <c:v>17</c:v>
                </c:pt>
                <c:pt idx="2">
                  <c:v>14</c:v>
                </c:pt>
                <c:pt idx="3">
                  <c:v>10</c:v>
                </c:pt>
                <c:pt idx="4">
                  <c:v>19</c:v>
                </c:pt>
                <c:pt idx="5">
                  <c:v>16</c:v>
                </c:pt>
                <c:pt idx="6">
                  <c:v>11</c:v>
                </c:pt>
                <c:pt idx="7">
                  <c:v>8</c:v>
                </c:pt>
                <c:pt idx="8">
                  <c:v>13</c:v>
                </c:pt>
                <c:pt idx="9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928768"/>
        <c:axId val="38930304"/>
      </c:barChart>
      <c:catAx>
        <c:axId val="38928768"/>
        <c:scaling>
          <c:orientation val="minMax"/>
        </c:scaling>
        <c:delete val="0"/>
        <c:axPos val="b"/>
        <c:majorTickMark val="out"/>
        <c:minorTickMark val="none"/>
        <c:tickLblPos val="nextTo"/>
        <c:crossAx val="38930304"/>
        <c:crosses val="autoZero"/>
        <c:auto val="1"/>
        <c:lblAlgn val="ctr"/>
        <c:lblOffset val="100"/>
        <c:noMultiLvlLbl val="0"/>
      </c:catAx>
      <c:valAx>
        <c:axId val="38930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89287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Sheet1!$E$4:$E$13</c:f>
              <c:numCache>
                <c:formatCode>General</c:formatCode>
                <c:ptCount val="10"/>
                <c:pt idx="0">
                  <c:v>55</c:v>
                </c:pt>
                <c:pt idx="1">
                  <c:v>65</c:v>
                </c:pt>
                <c:pt idx="2">
                  <c:v>78</c:v>
                </c:pt>
                <c:pt idx="3">
                  <c:v>89</c:v>
                </c:pt>
                <c:pt idx="4">
                  <c:v>49</c:v>
                </c:pt>
                <c:pt idx="5">
                  <c:v>91</c:v>
                </c:pt>
                <c:pt idx="6">
                  <c:v>84</c:v>
                </c:pt>
                <c:pt idx="7">
                  <c:v>75</c:v>
                </c:pt>
                <c:pt idx="8">
                  <c:v>63</c:v>
                </c:pt>
                <c:pt idx="9">
                  <c:v>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2421376"/>
        <c:axId val="162431360"/>
      </c:barChart>
      <c:catAx>
        <c:axId val="162421376"/>
        <c:scaling>
          <c:orientation val="minMax"/>
        </c:scaling>
        <c:delete val="0"/>
        <c:axPos val="b"/>
        <c:majorTickMark val="out"/>
        <c:minorTickMark val="none"/>
        <c:tickLblPos val="nextTo"/>
        <c:crossAx val="162431360"/>
        <c:crosses val="autoZero"/>
        <c:auto val="1"/>
        <c:lblAlgn val="ctr"/>
        <c:lblOffset val="100"/>
        <c:noMultiLvlLbl val="0"/>
      </c:catAx>
      <c:valAx>
        <c:axId val="162431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24213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38101</xdr:colOff>
      <xdr:row>3</xdr:row>
      <xdr:rowOff>76200</xdr:rowOff>
    </xdr:from>
    <xdr:to>
      <xdr:col>21</xdr:col>
      <xdr:colOff>500062</xdr:colOff>
      <xdr:row>17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71439</xdr:colOff>
      <xdr:row>22</xdr:row>
      <xdr:rowOff>128588</xdr:rowOff>
    </xdr:from>
    <xdr:to>
      <xdr:col>21</xdr:col>
      <xdr:colOff>309564</xdr:colOff>
      <xdr:row>37</xdr:row>
      <xdr:rowOff>14288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119062</xdr:colOff>
      <xdr:row>42</xdr:row>
      <xdr:rowOff>80962</xdr:rowOff>
    </xdr:from>
    <xdr:to>
      <xdr:col>21</xdr:col>
      <xdr:colOff>500061</xdr:colOff>
      <xdr:row>56</xdr:row>
      <xdr:rowOff>157162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1"/>
  <sheetViews>
    <sheetView tabSelected="1" topLeftCell="H11" zoomScale="85" zoomScaleNormal="85" workbookViewId="0">
      <selection activeCell="P42" sqref="P42"/>
    </sheetView>
  </sheetViews>
  <sheetFormatPr defaultRowHeight="15" x14ac:dyDescent="0.25"/>
  <cols>
    <col min="1" max="1" width="12" customWidth="1"/>
    <col min="2" max="2" width="13.5703125" customWidth="1"/>
    <col min="3" max="3" width="7.42578125" customWidth="1"/>
    <col min="4" max="4" width="7.140625" customWidth="1"/>
    <col min="5" max="5" width="6.7109375" customWidth="1"/>
    <col min="6" max="6" width="7" customWidth="1"/>
    <col min="9" max="9" width="9.42578125" customWidth="1"/>
    <col min="13" max="13" width="9.140625" customWidth="1"/>
    <col min="16" max="16" width="30" customWidth="1"/>
  </cols>
  <sheetData>
    <row r="1" spans="1:18" ht="152.25" x14ac:dyDescent="0.25">
      <c r="A1" t="s">
        <v>0</v>
      </c>
      <c r="C1" s="3" t="s">
        <v>21</v>
      </c>
      <c r="D1" s="3" t="s">
        <v>22</v>
      </c>
      <c r="E1" s="3" t="s">
        <v>23</v>
      </c>
      <c r="F1" s="3" t="s">
        <v>24</v>
      </c>
      <c r="H1" s="3" t="s">
        <v>30</v>
      </c>
      <c r="I1" s="3" t="s">
        <v>31</v>
      </c>
      <c r="J1" s="3" t="s">
        <v>32</v>
      </c>
      <c r="K1" s="3" t="s">
        <v>33</v>
      </c>
      <c r="M1" s="3" t="s">
        <v>29</v>
      </c>
      <c r="O1" s="1"/>
      <c r="P1" s="1" t="s">
        <v>26</v>
      </c>
      <c r="Q1" s="1"/>
      <c r="R1" s="1"/>
    </row>
    <row r="2" spans="1:18" x14ac:dyDescent="0.25">
      <c r="B2" t="s">
        <v>25</v>
      </c>
      <c r="C2">
        <v>10</v>
      </c>
      <c r="D2">
        <v>20</v>
      </c>
      <c r="E2">
        <v>100</v>
      </c>
      <c r="F2">
        <v>1</v>
      </c>
    </row>
    <row r="3" spans="1:18" x14ac:dyDescent="0.25">
      <c r="A3" t="s">
        <v>1</v>
      </c>
      <c r="B3" t="s">
        <v>2</v>
      </c>
      <c r="P3" s="4" t="s">
        <v>37</v>
      </c>
    </row>
    <row r="4" spans="1:18" x14ac:dyDescent="0.25">
      <c r="A4" t="s">
        <v>3</v>
      </c>
      <c r="B4" t="s">
        <v>4</v>
      </c>
      <c r="C4">
        <v>3</v>
      </c>
      <c r="D4">
        <v>15</v>
      </c>
      <c r="E4">
        <v>55</v>
      </c>
      <c r="F4">
        <v>1</v>
      </c>
      <c r="H4" s="2">
        <f>C4/ C$2</f>
        <v>0.3</v>
      </c>
      <c r="I4" s="2">
        <f t="shared" ref="I4:K13" si="0">D4/ D$2</f>
        <v>0.75</v>
      </c>
      <c r="J4" s="2">
        <f t="shared" si="0"/>
        <v>0.55000000000000004</v>
      </c>
      <c r="K4" s="2">
        <f t="shared" si="0"/>
        <v>1</v>
      </c>
      <c r="M4" s="2" t="b">
        <f>AND(H4&gt;=0.5, I4&gt;=0.5, J4&gt;=0.5, K4&gt;=0.5)</f>
        <v>0</v>
      </c>
    </row>
    <row r="5" spans="1:18" x14ac:dyDescent="0.25">
      <c r="A5" t="s">
        <v>6</v>
      </c>
      <c r="B5" t="s">
        <v>5</v>
      </c>
      <c r="C5">
        <v>5</v>
      </c>
      <c r="D5">
        <v>17</v>
      </c>
      <c r="E5">
        <v>65</v>
      </c>
      <c r="F5">
        <v>1</v>
      </c>
      <c r="H5" s="2">
        <f t="shared" ref="H5:H12" si="1">C5/ C$2</f>
        <v>0.5</v>
      </c>
      <c r="I5" s="2">
        <f t="shared" si="0"/>
        <v>0.85</v>
      </c>
      <c r="J5" s="2">
        <f t="shared" si="0"/>
        <v>0.65</v>
      </c>
      <c r="K5" s="2">
        <f t="shared" si="0"/>
        <v>1</v>
      </c>
      <c r="M5" s="2" t="b">
        <f t="shared" ref="M5:M13" si="2">AND(H5&gt;=0.5, I5&gt;=0.5, J5&gt;=0.5, K5&gt;=0.5)</f>
        <v>1</v>
      </c>
    </row>
    <row r="6" spans="1:18" x14ac:dyDescent="0.25">
      <c r="A6" t="s">
        <v>10</v>
      </c>
      <c r="B6" t="s">
        <v>7</v>
      </c>
      <c r="C6">
        <v>7</v>
      </c>
      <c r="D6">
        <v>14</v>
      </c>
      <c r="E6">
        <v>78</v>
      </c>
      <c r="F6">
        <v>1</v>
      </c>
      <c r="H6" s="2">
        <f t="shared" si="1"/>
        <v>0.7</v>
      </c>
      <c r="I6" s="2">
        <f t="shared" si="0"/>
        <v>0.7</v>
      </c>
      <c r="J6" s="2">
        <f t="shared" si="0"/>
        <v>0.78</v>
      </c>
      <c r="K6" s="2">
        <f t="shared" si="0"/>
        <v>1</v>
      </c>
      <c r="M6" s="2" t="b">
        <f t="shared" si="2"/>
        <v>1</v>
      </c>
    </row>
    <row r="7" spans="1:18" x14ac:dyDescent="0.25">
      <c r="A7" t="s">
        <v>11</v>
      </c>
      <c r="B7" t="s">
        <v>8</v>
      </c>
      <c r="C7">
        <v>7</v>
      </c>
      <c r="D7">
        <v>10</v>
      </c>
      <c r="E7">
        <v>89</v>
      </c>
      <c r="F7">
        <v>1</v>
      </c>
      <c r="H7" s="2">
        <f t="shared" si="1"/>
        <v>0.7</v>
      </c>
      <c r="I7" s="2">
        <f t="shared" si="0"/>
        <v>0.5</v>
      </c>
      <c r="J7" s="2">
        <f t="shared" si="0"/>
        <v>0.89</v>
      </c>
      <c r="K7" s="2">
        <f t="shared" si="0"/>
        <v>1</v>
      </c>
      <c r="M7" s="2" t="b">
        <f t="shared" si="2"/>
        <v>1</v>
      </c>
    </row>
    <row r="8" spans="1:18" x14ac:dyDescent="0.25">
      <c r="A8" t="s">
        <v>9</v>
      </c>
      <c r="B8" t="s">
        <v>12</v>
      </c>
      <c r="C8">
        <v>6</v>
      </c>
      <c r="D8">
        <v>19</v>
      </c>
      <c r="E8">
        <v>49</v>
      </c>
      <c r="F8">
        <v>0</v>
      </c>
      <c r="H8" s="2">
        <f t="shared" si="1"/>
        <v>0.6</v>
      </c>
      <c r="I8" s="2">
        <f t="shared" si="0"/>
        <v>0.95</v>
      </c>
      <c r="J8" s="2">
        <f t="shared" si="0"/>
        <v>0.49</v>
      </c>
      <c r="K8" s="2">
        <f t="shared" si="0"/>
        <v>0</v>
      </c>
      <c r="M8" s="2" t="b">
        <f t="shared" si="2"/>
        <v>0</v>
      </c>
    </row>
    <row r="9" spans="1:18" x14ac:dyDescent="0.25">
      <c r="A9" t="s">
        <v>13</v>
      </c>
      <c r="B9" t="s">
        <v>17</v>
      </c>
      <c r="C9">
        <v>9</v>
      </c>
      <c r="D9">
        <v>16</v>
      </c>
      <c r="E9">
        <v>91</v>
      </c>
      <c r="F9">
        <v>1</v>
      </c>
      <c r="H9" s="2">
        <f t="shared" si="1"/>
        <v>0.9</v>
      </c>
      <c r="I9" s="2">
        <f t="shared" si="0"/>
        <v>0.8</v>
      </c>
      <c r="J9" s="2">
        <f t="shared" si="0"/>
        <v>0.91</v>
      </c>
      <c r="K9" s="2">
        <f t="shared" si="0"/>
        <v>1</v>
      </c>
      <c r="M9" s="2" t="b">
        <f t="shared" si="2"/>
        <v>1</v>
      </c>
    </row>
    <row r="10" spans="1:18" x14ac:dyDescent="0.25">
      <c r="A10" t="s">
        <v>14</v>
      </c>
      <c r="B10" t="s">
        <v>18</v>
      </c>
      <c r="C10">
        <v>9</v>
      </c>
      <c r="D10">
        <v>11</v>
      </c>
      <c r="E10">
        <v>84</v>
      </c>
      <c r="F10">
        <v>1</v>
      </c>
      <c r="H10" s="2">
        <f t="shared" si="1"/>
        <v>0.9</v>
      </c>
      <c r="I10" s="2">
        <f t="shared" si="0"/>
        <v>0.55000000000000004</v>
      </c>
      <c r="J10" s="2">
        <f t="shared" si="0"/>
        <v>0.84</v>
      </c>
      <c r="K10" s="2">
        <f t="shared" si="0"/>
        <v>1</v>
      </c>
      <c r="M10" s="2" t="b">
        <f t="shared" si="2"/>
        <v>1</v>
      </c>
    </row>
    <row r="11" spans="1:18" x14ac:dyDescent="0.25">
      <c r="A11" t="s">
        <v>15</v>
      </c>
      <c r="B11" t="s">
        <v>19</v>
      </c>
      <c r="C11">
        <v>8</v>
      </c>
      <c r="D11">
        <v>8</v>
      </c>
      <c r="E11">
        <v>75</v>
      </c>
      <c r="F11">
        <v>0</v>
      </c>
      <c r="H11" s="2">
        <f t="shared" si="1"/>
        <v>0.8</v>
      </c>
      <c r="I11" s="2">
        <f t="shared" si="0"/>
        <v>0.4</v>
      </c>
      <c r="J11" s="2">
        <f t="shared" si="0"/>
        <v>0.75</v>
      </c>
      <c r="K11" s="2">
        <f t="shared" si="0"/>
        <v>0</v>
      </c>
      <c r="M11" s="2" t="b">
        <f t="shared" si="2"/>
        <v>0</v>
      </c>
    </row>
    <row r="12" spans="1:18" x14ac:dyDescent="0.25">
      <c r="A12" t="s">
        <v>16</v>
      </c>
      <c r="B12" t="s">
        <v>20</v>
      </c>
      <c r="C12">
        <v>7</v>
      </c>
      <c r="D12">
        <v>13</v>
      </c>
      <c r="E12">
        <v>63</v>
      </c>
      <c r="F12">
        <v>1</v>
      </c>
      <c r="H12" s="2">
        <f t="shared" si="1"/>
        <v>0.7</v>
      </c>
      <c r="I12" s="2">
        <f t="shared" si="0"/>
        <v>0.65</v>
      </c>
      <c r="J12" s="2">
        <f t="shared" si="0"/>
        <v>0.63</v>
      </c>
      <c r="K12" s="2">
        <f t="shared" si="0"/>
        <v>1</v>
      </c>
      <c r="M12" s="2" t="b">
        <f t="shared" si="2"/>
        <v>1</v>
      </c>
    </row>
    <row r="13" spans="1:18" x14ac:dyDescent="0.25">
      <c r="A13" t="s">
        <v>27</v>
      </c>
      <c r="B13" t="s">
        <v>28</v>
      </c>
      <c r="C13">
        <v>6</v>
      </c>
      <c r="D13">
        <v>18</v>
      </c>
      <c r="E13">
        <v>49</v>
      </c>
      <c r="F13">
        <v>1</v>
      </c>
      <c r="G13" t="s">
        <v>26</v>
      </c>
      <c r="H13" s="2">
        <f>C13/ C$2</f>
        <v>0.6</v>
      </c>
      <c r="I13" s="2">
        <f t="shared" si="0"/>
        <v>0.9</v>
      </c>
      <c r="J13" s="2">
        <f t="shared" si="0"/>
        <v>0.49</v>
      </c>
      <c r="K13" s="2">
        <f t="shared" si="0"/>
        <v>1</v>
      </c>
      <c r="M13" s="2" t="b">
        <f t="shared" si="2"/>
        <v>0</v>
      </c>
    </row>
    <row r="16" spans="1:18" x14ac:dyDescent="0.25">
      <c r="A16" s="4" t="s">
        <v>34</v>
      </c>
      <c r="C16">
        <f>MAX(C4:C13)</f>
        <v>9</v>
      </c>
      <c r="D16">
        <f t="shared" ref="D16:F16" si="3">MAX(D4:D13)</f>
        <v>19</v>
      </c>
      <c r="E16">
        <f t="shared" si="3"/>
        <v>91</v>
      </c>
      <c r="F16">
        <f t="shared" si="3"/>
        <v>1</v>
      </c>
      <c r="H16" s="2">
        <f>MAX(H3:H12)</f>
        <v>0.9</v>
      </c>
      <c r="I16" s="2">
        <f>MAX(I3:I12)</f>
        <v>0.95</v>
      </c>
      <c r="J16" s="2">
        <f>MAX(J3:J12)</f>
        <v>0.91</v>
      </c>
      <c r="K16" s="2">
        <f>MAX(K3:K12)</f>
        <v>1</v>
      </c>
    </row>
    <row r="17" spans="1:16" x14ac:dyDescent="0.25">
      <c r="A17" s="4" t="s">
        <v>35</v>
      </c>
      <c r="C17">
        <f>MIN(C4:C13)</f>
        <v>3</v>
      </c>
      <c r="D17">
        <f t="shared" ref="D17:F17" si="4">MIN(D4:D13)</f>
        <v>8</v>
      </c>
      <c r="E17">
        <f t="shared" si="4"/>
        <v>49</v>
      </c>
      <c r="F17">
        <f t="shared" si="4"/>
        <v>0</v>
      </c>
      <c r="H17" s="2">
        <f>MIN(H3:H12)</f>
        <v>0.3</v>
      </c>
      <c r="I17" s="2">
        <f>MIN(I3:I12)</f>
        <v>0.4</v>
      </c>
      <c r="J17" s="2">
        <f>MIN(J3:J12)</f>
        <v>0.49</v>
      </c>
      <c r="K17" s="2">
        <f>MIN(K3:K12)</f>
        <v>0</v>
      </c>
    </row>
    <row r="18" spans="1:16" x14ac:dyDescent="0.25">
      <c r="A18" s="4" t="s">
        <v>36</v>
      </c>
      <c r="C18">
        <f>AVERAGE(C4:C13)</f>
        <v>6.7</v>
      </c>
      <c r="D18">
        <f t="shared" ref="D18:F18" si="5">AVERAGE(D4:D13)</f>
        <v>14.1</v>
      </c>
      <c r="E18">
        <f t="shared" si="5"/>
        <v>69.8</v>
      </c>
      <c r="F18">
        <f t="shared" si="5"/>
        <v>0.8</v>
      </c>
      <c r="H18" s="2">
        <f>AVERAGE(H3:H12)</f>
        <v>0.67777777777777781</v>
      </c>
      <c r="I18" s="2">
        <f>AVERAGE(I3:I12)</f>
        <v>0.68333333333333335</v>
      </c>
      <c r="J18" s="2">
        <f>AVERAGE(J3:J12)</f>
        <v>0.72111111111111115</v>
      </c>
      <c r="K18" s="2">
        <f>AVERAGE(K3:K12)</f>
        <v>0.77777777777777779</v>
      </c>
    </row>
    <row r="22" spans="1:16" x14ac:dyDescent="0.25">
      <c r="P22" s="4" t="s">
        <v>38</v>
      </c>
    </row>
    <row r="41" spans="16:16" x14ac:dyDescent="0.25">
      <c r="P41" s="4" t="s">
        <v>39</v>
      </c>
    </row>
  </sheetData>
  <conditionalFormatting sqref="C4:C13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1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1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1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13">
    <cfRule type="cellIs" dxfId="1" priority="2" operator="lessThan">
      <formula>0.5</formula>
    </cfRule>
  </conditionalFormatting>
  <conditionalFormatting sqref="M4:M13">
    <cfRule type="cellIs" dxfId="0" priority="1" operator="equal">
      <formula>FALSE</formula>
    </cfRule>
  </conditionalFormatting>
  <pageMargins left="0.7" right="0.7" top="0.75" bottom="0.75" header="0.3" footer="0.3"/>
  <pageSetup scale="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2025-06-21T02:35:44Z</cp:lastPrinted>
  <dcterms:created xsi:type="dcterms:W3CDTF">2025-06-18T03:46:52Z</dcterms:created>
  <dcterms:modified xsi:type="dcterms:W3CDTF">2025-06-21T02:37:07Z</dcterms:modified>
</cp:coreProperties>
</file>