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1"/>
  </bookViews>
  <sheets>
    <sheet name="Unmodifies" sheetId="2" r:id="rId1"/>
    <sheet name="Modified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<sst xmlns="http://schemas.openxmlformats.org/spreadsheetml/2006/main" count="796" uniqueCount="191">
  <si>
    <t>Car ID</t>
  </si>
  <si>
    <t>Make</t>
  </si>
  <si>
    <t>Make (Full Name)</t>
  </si>
  <si>
    <t>Model</t>
  </si>
  <si>
    <t>Model (Full Name)</t>
  </si>
  <si>
    <t>Manufacture Year</t>
  </si>
  <si>
    <t>Age</t>
  </si>
  <si>
    <t xml:space="preserve"> Miles </t>
  </si>
  <si>
    <t xml:space="preserve"> Miles / Year </t>
  </si>
  <si>
    <t>Color</t>
  </si>
  <si>
    <t>Driver</t>
  </si>
  <si>
    <t>Warantee Miles</t>
  </si>
  <si>
    <t>Covered?</t>
  </si>
  <si>
    <t>New Car ID</t>
  </si>
  <si>
    <t>TY14COR027</t>
  </si>
  <si>
    <t>TY</t>
  </si>
  <si>
    <t>Toyota</t>
  </si>
  <si>
    <t>COR</t>
  </si>
  <si>
    <t>Corola</t>
  </si>
  <si>
    <t>Blue</t>
  </si>
  <si>
    <t>Praulty</t>
  </si>
  <si>
    <t>Y</t>
  </si>
  <si>
    <t>TY14CORBLU027</t>
  </si>
  <si>
    <t>GM14CMR016</t>
  </si>
  <si>
    <t>GM</t>
  </si>
  <si>
    <t>General Motors</t>
  </si>
  <si>
    <t>CMR</t>
  </si>
  <si>
    <t>Camero</t>
  </si>
  <si>
    <t>White</t>
  </si>
  <si>
    <t>Torrens</t>
  </si>
  <si>
    <t>GM14CMRWHI016</t>
  </si>
  <si>
    <t>FD13FCS009</t>
  </si>
  <si>
    <t>FD</t>
  </si>
  <si>
    <t>Ford</t>
  </si>
  <si>
    <t>FCS</t>
  </si>
  <si>
    <t>Focus</t>
  </si>
  <si>
    <t>Black</t>
  </si>
  <si>
    <t>Smith</t>
  </si>
  <si>
    <t>FD13FCSBLA009</t>
  </si>
  <si>
    <t>FD13FCS010</t>
  </si>
  <si>
    <t>FD13FCSWHI010</t>
  </si>
  <si>
    <t>FD13FCS012</t>
  </si>
  <si>
    <t>Vizzini</t>
  </si>
  <si>
    <t>FD13FCSBLA012</t>
  </si>
  <si>
    <t>HY13ELA052</t>
  </si>
  <si>
    <t>HY</t>
  </si>
  <si>
    <t>Hundai</t>
  </si>
  <si>
    <t>ELA</t>
  </si>
  <si>
    <t>Elantra</t>
  </si>
  <si>
    <t>Ewenty</t>
  </si>
  <si>
    <t>HY13ELABLU052</t>
  </si>
  <si>
    <t>HY13ELA051</t>
  </si>
  <si>
    <t>HY13ELABLA051</t>
  </si>
  <si>
    <t>TY12COR028</t>
  </si>
  <si>
    <t>Santos</t>
  </si>
  <si>
    <t>TY12CORBLA028</t>
  </si>
  <si>
    <t>HO12CIV035</t>
  </si>
  <si>
    <t>HO</t>
  </si>
  <si>
    <t>Honda</t>
  </si>
  <si>
    <t>CIV</t>
  </si>
  <si>
    <t>Civic</t>
  </si>
  <si>
    <t>Hulinski</t>
  </si>
  <si>
    <t>HO12CIVBLA035</t>
  </si>
  <si>
    <t>HO13CIV036</t>
  </si>
  <si>
    <t>Chan</t>
  </si>
  <si>
    <t>HO13CIVBLA036</t>
  </si>
  <si>
    <t>FD13FCS013</t>
  </si>
  <si>
    <t>Rodriguez</t>
  </si>
  <si>
    <t>FD13FCSBLA013</t>
  </si>
  <si>
    <t>HY12ELA050</t>
  </si>
  <si>
    <t>McCall</t>
  </si>
  <si>
    <t>HY12ELABLU050</t>
  </si>
  <si>
    <t>TY12CAM029</t>
  </si>
  <si>
    <t>CAM</t>
  </si>
  <si>
    <t>Camrey</t>
  </si>
  <si>
    <t>TY12CAMBLU029</t>
  </si>
  <si>
    <t>TY09CAM024</t>
  </si>
  <si>
    <t>09</t>
  </si>
  <si>
    <t>Howard</t>
  </si>
  <si>
    <t>TY09CAMWHI024</t>
  </si>
  <si>
    <t>HO11CIV034</t>
  </si>
  <si>
    <t>Lyon</t>
  </si>
  <si>
    <t>HO11CIVBLA034</t>
  </si>
  <si>
    <t>HY11ELA049</t>
  </si>
  <si>
    <t>HY11ELABLA049</t>
  </si>
  <si>
    <t>CR11PTC044</t>
  </si>
  <si>
    <t>CR</t>
  </si>
  <si>
    <t>Chrysler</t>
  </si>
  <si>
    <t>PTC</t>
  </si>
  <si>
    <t>PT Cruiser</t>
  </si>
  <si>
    <t>CR11PTCBLA044</t>
  </si>
  <si>
    <t>GM12CMR015</t>
  </si>
  <si>
    <t>Bard</t>
  </si>
  <si>
    <t>GM12CMRBLA015</t>
  </si>
  <si>
    <t>FD12FCS011</t>
  </si>
  <si>
    <t>Yousef</t>
  </si>
  <si>
    <t>FD12FCSWHI011</t>
  </si>
  <si>
    <t>HO10CIV033</t>
  </si>
  <si>
    <t>Swartz</t>
  </si>
  <si>
    <t>HO10CIVBLA033</t>
  </si>
  <si>
    <t>HO14ODY041</t>
  </si>
  <si>
    <t>ODY</t>
  </si>
  <si>
    <t>Odyssey</t>
  </si>
  <si>
    <t>HO14ODYBLA041</t>
  </si>
  <si>
    <t>GM10SLV017</t>
  </si>
  <si>
    <t>SLV</t>
  </si>
  <si>
    <t>Silverado</t>
  </si>
  <si>
    <t>GM10SLVBLA017</t>
  </si>
  <si>
    <t>FD08MTG003</t>
  </si>
  <si>
    <t>MTG</t>
  </si>
  <si>
    <t>Mustang</t>
  </si>
  <si>
    <t>08</t>
  </si>
  <si>
    <t>Green</t>
  </si>
  <si>
    <t>FD08MTGGRE003</t>
  </si>
  <si>
    <t>CR04CAR047</t>
  </si>
  <si>
    <t>CAR</t>
  </si>
  <si>
    <t>Caravan</t>
  </si>
  <si>
    <t>04</t>
  </si>
  <si>
    <t>CR04CARWHI047</t>
  </si>
  <si>
    <t>HO07ODY038</t>
  </si>
  <si>
    <t>07</t>
  </si>
  <si>
    <t>HO07ODYBLA038</t>
  </si>
  <si>
    <t>HO08ODY039</t>
  </si>
  <si>
    <t>HO08ODYWHI039</t>
  </si>
  <si>
    <t>FD09FCS008</t>
  </si>
  <si>
    <t>FD09FCSBLA008</t>
  </si>
  <si>
    <t>TY03COR026</t>
  </si>
  <si>
    <t>03</t>
  </si>
  <si>
    <t>Gaul</t>
  </si>
  <si>
    <t>TY03CORBLA026</t>
  </si>
  <si>
    <t>HO05ODY037</t>
  </si>
  <si>
    <t>05</t>
  </si>
  <si>
    <t>HO05ODYWHI037</t>
  </si>
  <si>
    <t>TY96CAM020</t>
  </si>
  <si>
    <t>Not Covered</t>
  </si>
  <si>
    <t>TY96CAMGRE020</t>
  </si>
  <si>
    <t>CR04PTC042</t>
  </si>
  <si>
    <t>CR04PTCBLU042</t>
  </si>
  <si>
    <t>FD06FCS007</t>
  </si>
  <si>
    <t>06</t>
  </si>
  <si>
    <t>FD06FCSGRE007</t>
  </si>
  <si>
    <t>TY00CAM022</t>
  </si>
  <si>
    <t>00</t>
  </si>
  <si>
    <t>TY00CAMGRE022</t>
  </si>
  <si>
    <t>FD08MTG004</t>
  </si>
  <si>
    <t>Jones</t>
  </si>
  <si>
    <t>FD08MTGBLA004</t>
  </si>
  <si>
    <t>TY98CAM021</t>
  </si>
  <si>
    <t>TY98CAMBLA021</t>
  </si>
  <si>
    <t>CR07PTC043</t>
  </si>
  <si>
    <t>CR07PTCGRE043</t>
  </si>
  <si>
    <t>FD08MTG005</t>
  </si>
  <si>
    <t>FD08MTGWHI005</t>
  </si>
  <si>
    <t>GM00SLV019</t>
  </si>
  <si>
    <t>GM00SLVBLU019</t>
  </si>
  <si>
    <t>FD06FCS006</t>
  </si>
  <si>
    <t>FD06FCSGRE006</t>
  </si>
  <si>
    <t>TY02CAM023</t>
  </si>
  <si>
    <t>02</t>
  </si>
  <si>
    <t>TY02CAMBLA023</t>
  </si>
  <si>
    <t>CR00CAR046</t>
  </si>
  <si>
    <t>CR00CARBLA046</t>
  </si>
  <si>
    <t>HO99CIV030</t>
  </si>
  <si>
    <t>HO99CIVWHI030</t>
  </si>
  <si>
    <t>FD06MTG002</t>
  </si>
  <si>
    <t>FD06MTGWHI002</t>
  </si>
  <si>
    <t>HO01CIV031</t>
  </si>
  <si>
    <t>01</t>
  </si>
  <si>
    <t>HO01CIVBLU031</t>
  </si>
  <si>
    <t>GM09CMR014</t>
  </si>
  <si>
    <t>GM09CMRWHI014</t>
  </si>
  <si>
    <t>TY02COR025</t>
  </si>
  <si>
    <t>Red</t>
  </si>
  <si>
    <t>TY02CORRED025</t>
  </si>
  <si>
    <t>CR99CAR045</t>
  </si>
  <si>
    <t>CR99CARGRE045</t>
  </si>
  <si>
    <t>HO01ODY040</t>
  </si>
  <si>
    <t>HO01ODYBLA040</t>
  </si>
  <si>
    <t>GM98SLV018</t>
  </si>
  <si>
    <t>GM98SLVBLA018</t>
  </si>
  <si>
    <t>CR04CAR048</t>
  </si>
  <si>
    <t>CR04CARRED048</t>
  </si>
  <si>
    <t>HO10CIV032</t>
  </si>
  <si>
    <t>HO10CIVBLU032</t>
  </si>
  <si>
    <t>FD06MTG001</t>
  </si>
  <si>
    <t>FD06MTGBLA001</t>
  </si>
  <si>
    <t>HD</t>
  </si>
  <si>
    <t>HT</t>
  </si>
  <si>
    <t>Miles</t>
  </si>
  <si>
    <t>Miles / Year</t>
  </si>
  <si>
    <t>Model(Full Name)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</si>
</sst>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8" fillId="32" borderId="0" applyNumberFormat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43" fontId="0" fillId="0" borderId="0" xfId="1" applyFont="1"/>
    <xf numFmtId="0" fontId="0" fillId="0" borderId="0" xfId="0" applyAlignment="1"/>
    <xf numFmtId="0" fontId="1" fillId="0" borderId="0" xfId="0" applyFont="1" applyFill="1" applyAlignment="1">
      <alignment horizontal="center" vertical="center"/>
    </xf>
    <xf numFmtId="43" fontId="1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/>
    </xf>
    <xf numFmtId="43" fontId="0" fillId="0" borderId="0" xfId="1" applyFont="1" applyAlignment="1">
      <alignment horizontal="center"/>
    </xf>
    <xf numFmtId="4" fontId="0" fillId="0" borderId="0" xfId="0" applyNumberFormat="1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xVal>
            <c:numRef>
              <c:f>Modified!$F$2:$F$53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0</c:v>
                </c:pt>
                <c:pt idx="21">
                  <c:v>4</c:v>
                </c:pt>
                <c:pt idx="22">
                  <c:v>6</c:v>
                </c:pt>
                <c:pt idx="23">
                  <c:v>10</c:v>
                </c:pt>
                <c:pt idx="24">
                  <c:v>7</c:v>
                </c:pt>
                <c:pt idx="25">
                  <c:v>6</c:v>
                </c:pt>
                <c:pt idx="26">
                  <c:v>5</c:v>
                </c:pt>
                <c:pt idx="27">
                  <c:v>11</c:v>
                </c:pt>
                <c:pt idx="28">
                  <c:v>9</c:v>
                </c:pt>
                <c:pt idx="29">
                  <c:v>18</c:v>
                </c:pt>
                <c:pt idx="30">
                  <c:v>10</c:v>
                </c:pt>
                <c:pt idx="31">
                  <c:v>8</c:v>
                </c:pt>
                <c:pt idx="32">
                  <c:v>14</c:v>
                </c:pt>
                <c:pt idx="33">
                  <c:v>6</c:v>
                </c:pt>
                <c:pt idx="34">
                  <c:v>16</c:v>
                </c:pt>
                <c:pt idx="35">
                  <c:v>7</c:v>
                </c:pt>
                <c:pt idx="36">
                  <c:v>6</c:v>
                </c:pt>
                <c:pt idx="37">
                  <c:v>14</c:v>
                </c:pt>
                <c:pt idx="38">
                  <c:v>8</c:v>
                </c:pt>
                <c:pt idx="39">
                  <c:v>12</c:v>
                </c:pt>
                <c:pt idx="40">
                  <c:v>14</c:v>
                </c:pt>
                <c:pt idx="41">
                  <c:v>15</c:v>
                </c:pt>
                <c:pt idx="42">
                  <c:v>8</c:v>
                </c:pt>
                <c:pt idx="43">
                  <c:v>13</c:v>
                </c:pt>
                <c:pt idx="44">
                  <c:v>5</c:v>
                </c:pt>
                <c:pt idx="45">
                  <c:v>12</c:v>
                </c:pt>
                <c:pt idx="46">
                  <c:v>15</c:v>
                </c:pt>
                <c:pt idx="47">
                  <c:v>13</c:v>
                </c:pt>
                <c:pt idx="48">
                  <c:v>16</c:v>
                </c:pt>
                <c:pt idx="49">
                  <c:v>10</c:v>
                </c:pt>
                <c:pt idx="50">
                  <c:v>4</c:v>
                </c:pt>
                <c:pt idx="51">
                  <c:v>8</c:v>
                </c:pt>
              </c:numCache>
            </c:numRef>
          </c:xVal>
          <c:yVal>
            <c:numRef>
              <c:f>Modified!$G$2:$G$53</c:f>
              <c:numCache>
                <c:formatCode>_(* #,##0.00_);_(* \(#,##0.00\);_(* "-"??_);_(@_)</c:formatCode>
                <c:ptCount val="52"/>
                <c:pt idx="0">
                  <c:v>17556.3</c:v>
                </c:pt>
                <c:pt idx="1">
                  <c:v>14289.6</c:v>
                </c:pt>
                <c:pt idx="2">
                  <c:v>27637.1</c:v>
                </c:pt>
                <c:pt idx="3">
                  <c:v>27534.8</c:v>
                </c:pt>
                <c:pt idx="4">
                  <c:v>22521.6</c:v>
                </c:pt>
                <c:pt idx="5">
                  <c:v>22188.5</c:v>
                </c:pt>
                <c:pt idx="6">
                  <c:v>20223.9</c:v>
                </c:pt>
                <c:pt idx="7">
                  <c:v>29601.9</c:v>
                </c:pt>
                <c:pt idx="8">
                  <c:v>24513.2</c:v>
                </c:pt>
                <c:pt idx="9">
                  <c:v>13867.6</c:v>
                </c:pt>
                <c:pt idx="10">
                  <c:v>13682.9</c:v>
                </c:pt>
                <c:pt idx="11">
                  <c:v>22282</c:v>
                </c:pt>
                <c:pt idx="12">
                  <c:v>22128.2</c:v>
                </c:pt>
                <c:pt idx="13">
                  <c:v>48114.2</c:v>
                </c:pt>
                <c:pt idx="14">
                  <c:v>30555.3</c:v>
                </c:pt>
                <c:pt idx="15">
                  <c:v>29102.3</c:v>
                </c:pt>
                <c:pt idx="16">
                  <c:v>27394.2</c:v>
                </c:pt>
                <c:pt idx="17">
                  <c:v>19421.1</c:v>
                </c:pt>
                <c:pt idx="18">
                  <c:v>19341.7</c:v>
                </c:pt>
                <c:pt idx="19">
                  <c:v>33477.2</c:v>
                </c:pt>
                <c:pt idx="20">
                  <c:v>3708.1</c:v>
                </c:pt>
                <c:pt idx="21">
                  <c:v>31144.4</c:v>
                </c:pt>
                <c:pt idx="22">
                  <c:v>44946.5</c:v>
                </c:pt>
                <c:pt idx="23">
                  <c:v>72527.2</c:v>
                </c:pt>
                <c:pt idx="24">
                  <c:v>50854.1</c:v>
                </c:pt>
                <c:pt idx="25">
                  <c:v>42504.6</c:v>
                </c:pt>
                <c:pt idx="26">
                  <c:v>35137</c:v>
                </c:pt>
                <c:pt idx="27">
                  <c:v>73444.4</c:v>
                </c:pt>
                <c:pt idx="28">
                  <c:v>60389.5</c:v>
                </c:pt>
                <c:pt idx="29">
                  <c:v>114660.6</c:v>
                </c:pt>
                <c:pt idx="30">
                  <c:v>64542</c:v>
                </c:pt>
                <c:pt idx="31">
                  <c:v>52229.5</c:v>
                </c:pt>
                <c:pt idx="32">
                  <c:v>85928</c:v>
                </c:pt>
                <c:pt idx="33">
                  <c:v>37558.8</c:v>
                </c:pt>
                <c:pt idx="34">
                  <c:v>93382.6</c:v>
                </c:pt>
                <c:pt idx="35">
                  <c:v>42074.2</c:v>
                </c:pt>
                <c:pt idx="36">
                  <c:v>36438.5</c:v>
                </c:pt>
                <c:pt idx="37">
                  <c:v>80685.8</c:v>
                </c:pt>
                <c:pt idx="38">
                  <c:v>46311.4</c:v>
                </c:pt>
                <c:pt idx="39">
                  <c:v>67829.1</c:v>
                </c:pt>
                <c:pt idx="40">
                  <c:v>77243.1</c:v>
                </c:pt>
                <c:pt idx="41">
                  <c:v>82374</c:v>
                </c:pt>
                <c:pt idx="42">
                  <c:v>44974.8</c:v>
                </c:pt>
                <c:pt idx="43">
                  <c:v>69891.9</c:v>
                </c:pt>
                <c:pt idx="44">
                  <c:v>28464.8</c:v>
                </c:pt>
                <c:pt idx="45">
                  <c:v>64467.4</c:v>
                </c:pt>
                <c:pt idx="46">
                  <c:v>79420.6</c:v>
                </c:pt>
                <c:pt idx="47">
                  <c:v>68658.9</c:v>
                </c:pt>
                <c:pt idx="48">
                  <c:v>83162.7</c:v>
                </c:pt>
                <c:pt idx="49">
                  <c:v>52699.4</c:v>
                </c:pt>
                <c:pt idx="50">
                  <c:v>22573</c:v>
                </c:pt>
                <c:pt idx="51">
                  <c:v>40326.8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026624"/>
        <c:axId val="246028160"/>
      </c:scatterChart>
      <c:valAx>
        <c:axId val="246026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6028160"/>
        <c:crosses val="autoZero"/>
        <c:crossBetween val="midCat"/>
      </c:valAx>
      <c:valAx>
        <c:axId val="246028160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46026624"/>
        <c:crosses val="autoZero"/>
        <c:crossBetween val="midCat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a298482-6927-4130-bb3a-f18bcf8e7c4f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156210</xdr:colOff>
      <xdr:row>40</xdr:row>
      <xdr:rowOff>74295</xdr:rowOff>
    </xdr:from>
    <xdr:to>
      <xdr:col>21</xdr:col>
      <xdr:colOff>492386</xdr:colOff>
      <xdr:row>54</xdr:row>
      <xdr:rowOff>150495</xdr:rowOff>
    </xdr:to>
    <xdr:graphicFrame>
      <xdr:nvGraphicFramePr>
        <xdr:cNvPr id="2" name="Chart 1"/>
        <xdr:cNvGraphicFramePr/>
      </xdr:nvGraphicFramePr>
      <xdr:xfrm>
        <a:off x="11764645" y="7694295"/>
        <a:ext cx="45364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9"/>
  <sheetViews>
    <sheetView topLeftCell="A58" workbookViewId="0">
      <selection activeCell="C60" sqref="C60:F70"/>
    </sheetView>
  </sheetViews>
  <sheetFormatPr defaultColWidth="10.2857142857143" defaultRowHeight="15"/>
  <cols>
    <col min="1" max="1" width="14" style="2" customWidth="1"/>
    <col min="2" max="2" width="6.42857142857143" style="2" customWidth="1"/>
    <col min="3" max="3" width="18.1428571428571" style="2" customWidth="1"/>
    <col min="4" max="4" width="16" style="2" customWidth="1"/>
    <col min="5" max="5" width="19.1428571428571" style="2" customWidth="1"/>
    <col min="6" max="6" width="18" style="2" customWidth="1"/>
    <col min="7" max="7" width="5" style="2" customWidth="1"/>
    <col min="8" max="8" width="10.8571428571429" style="2" customWidth="1"/>
    <col min="9" max="9" width="13.1428571428571" style="2" customWidth="1"/>
    <col min="10" max="10" width="7" style="2" customWidth="1"/>
    <col min="11" max="11" width="10.4285714285714" style="2" customWidth="1"/>
    <col min="12" max="12" width="16.2857142857143" style="2" customWidth="1"/>
    <col min="13" max="13" width="13" style="2" customWidth="1"/>
    <col min="14" max="14" width="18.1428571428571" style="2" customWidth="1"/>
    <col min="15" max="16384" width="10.2857142857143" style="2"/>
  </cols>
  <sheetData>
    <row r="1" s="2" customForma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="2" customForma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>
        <v>14</v>
      </c>
      <c r="G2" s="2">
        <v>0</v>
      </c>
      <c r="H2" s="10">
        <v>17556.3</v>
      </c>
      <c r="I2" s="10">
        <v>35112.6</v>
      </c>
      <c r="J2" s="2" t="s">
        <v>19</v>
      </c>
      <c r="K2" s="2" t="s">
        <v>20</v>
      </c>
      <c r="L2" s="2">
        <v>100000</v>
      </c>
      <c r="M2" s="2" t="s">
        <v>21</v>
      </c>
      <c r="N2" s="2" t="s">
        <v>22</v>
      </c>
    </row>
    <row r="3" s="2" customFormat="1" spans="1:14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>
        <v>14</v>
      </c>
      <c r="G3" s="2">
        <v>0</v>
      </c>
      <c r="H3" s="10">
        <v>14289.6</v>
      </c>
      <c r="I3" s="10">
        <v>28579.2</v>
      </c>
      <c r="J3" s="2" t="s">
        <v>28</v>
      </c>
      <c r="K3" s="2" t="s">
        <v>29</v>
      </c>
      <c r="L3" s="2">
        <v>100000</v>
      </c>
      <c r="M3" s="2" t="s">
        <v>21</v>
      </c>
      <c r="N3" s="2" t="s">
        <v>30</v>
      </c>
    </row>
    <row r="4" s="2" customFormat="1" spans="1:14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>
        <v>13</v>
      </c>
      <c r="G4" s="2">
        <v>1</v>
      </c>
      <c r="H4" s="10">
        <v>27637.1</v>
      </c>
      <c r="I4" s="10">
        <v>18424.73</v>
      </c>
      <c r="J4" s="2" t="s">
        <v>36</v>
      </c>
      <c r="K4" s="2" t="s">
        <v>37</v>
      </c>
      <c r="L4" s="2">
        <v>75000</v>
      </c>
      <c r="M4" s="2" t="s">
        <v>21</v>
      </c>
      <c r="N4" s="2" t="s">
        <v>38</v>
      </c>
    </row>
    <row r="5" s="2" customFormat="1" spans="1:14">
      <c r="A5" s="2" t="s">
        <v>39</v>
      </c>
      <c r="B5" s="2" t="s">
        <v>32</v>
      </c>
      <c r="C5" s="2" t="s">
        <v>33</v>
      </c>
      <c r="D5" s="2" t="s">
        <v>34</v>
      </c>
      <c r="E5" s="2" t="s">
        <v>35</v>
      </c>
      <c r="F5" s="2">
        <v>13</v>
      </c>
      <c r="G5" s="2">
        <v>1</v>
      </c>
      <c r="H5" s="10">
        <v>27534.8</v>
      </c>
      <c r="I5" s="10">
        <v>18356.53</v>
      </c>
      <c r="J5" s="2" t="s">
        <v>28</v>
      </c>
      <c r="K5" s="2" t="s">
        <v>20</v>
      </c>
      <c r="L5" s="2">
        <v>75000</v>
      </c>
      <c r="M5" s="2" t="s">
        <v>21</v>
      </c>
      <c r="N5" s="2" t="s">
        <v>40</v>
      </c>
    </row>
    <row r="6" s="2" customFormat="1" spans="1:14">
      <c r="A6" s="2" t="s">
        <v>41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13</v>
      </c>
      <c r="G6" s="2">
        <v>1</v>
      </c>
      <c r="H6" s="10">
        <v>22521.6</v>
      </c>
      <c r="I6" s="10">
        <v>15014.4</v>
      </c>
      <c r="J6" s="2" t="s">
        <v>36</v>
      </c>
      <c r="K6" s="2" t="s">
        <v>42</v>
      </c>
      <c r="L6" s="2">
        <v>75000</v>
      </c>
      <c r="M6" s="2" t="s">
        <v>21</v>
      </c>
      <c r="N6" s="2" t="s">
        <v>43</v>
      </c>
    </row>
    <row r="7" s="2" customFormat="1" spans="1:14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>
        <v>13</v>
      </c>
      <c r="G7" s="2">
        <v>1</v>
      </c>
      <c r="H7" s="10">
        <v>22188.5</v>
      </c>
      <c r="I7" s="10">
        <v>14792.33</v>
      </c>
      <c r="J7" s="2" t="s">
        <v>19</v>
      </c>
      <c r="K7" s="2" t="s">
        <v>49</v>
      </c>
      <c r="L7" s="2">
        <v>100000</v>
      </c>
      <c r="M7" s="2" t="s">
        <v>21</v>
      </c>
      <c r="N7" s="2" t="s">
        <v>50</v>
      </c>
    </row>
    <row r="8" s="2" customFormat="1" spans="1:14">
      <c r="A8" s="2" t="s">
        <v>51</v>
      </c>
      <c r="B8" s="2" t="s">
        <v>45</v>
      </c>
      <c r="C8" s="2" t="s">
        <v>46</v>
      </c>
      <c r="D8" s="2" t="s">
        <v>47</v>
      </c>
      <c r="E8" s="2" t="s">
        <v>48</v>
      </c>
      <c r="F8" s="2">
        <v>13</v>
      </c>
      <c r="G8" s="2">
        <v>1</v>
      </c>
      <c r="H8" s="10">
        <v>20223.9</v>
      </c>
      <c r="I8" s="10">
        <v>13482.6</v>
      </c>
      <c r="J8" s="2" t="s">
        <v>36</v>
      </c>
      <c r="K8" s="2" t="s">
        <v>20</v>
      </c>
      <c r="L8" s="2">
        <v>100000</v>
      </c>
      <c r="M8" s="2" t="s">
        <v>21</v>
      </c>
      <c r="N8" s="2" t="s">
        <v>52</v>
      </c>
    </row>
    <row r="9" s="2" customFormat="1" spans="1:14">
      <c r="A9" s="2" t="s">
        <v>53</v>
      </c>
      <c r="B9" s="2" t="s">
        <v>15</v>
      </c>
      <c r="C9" s="2" t="s">
        <v>16</v>
      </c>
      <c r="D9" s="2" t="s">
        <v>17</v>
      </c>
      <c r="E9" s="2" t="s">
        <v>18</v>
      </c>
      <c r="F9" s="2">
        <v>12</v>
      </c>
      <c r="G9" s="2">
        <v>2</v>
      </c>
      <c r="H9" s="10">
        <v>29601.9</v>
      </c>
      <c r="I9" s="10">
        <v>11840.76</v>
      </c>
      <c r="J9" s="2" t="s">
        <v>36</v>
      </c>
      <c r="K9" s="2" t="s">
        <v>54</v>
      </c>
      <c r="L9" s="2">
        <v>100000</v>
      </c>
      <c r="M9" s="2" t="s">
        <v>21</v>
      </c>
      <c r="N9" s="2" t="s">
        <v>55</v>
      </c>
    </row>
    <row r="10" s="2" customFormat="1" spans="1:14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>
        <v>12</v>
      </c>
      <c r="G10" s="2">
        <v>2</v>
      </c>
      <c r="H10" s="10">
        <v>24513.2</v>
      </c>
      <c r="I10" s="10">
        <v>9805.28</v>
      </c>
      <c r="J10" s="2" t="s">
        <v>36</v>
      </c>
      <c r="K10" s="2" t="s">
        <v>61</v>
      </c>
      <c r="L10" s="2">
        <v>75000</v>
      </c>
      <c r="M10" s="2" t="s">
        <v>21</v>
      </c>
      <c r="N10" s="2" t="s">
        <v>62</v>
      </c>
    </row>
    <row r="11" s="2" customFormat="1" spans="1:14">
      <c r="A11" s="2" t="s">
        <v>63</v>
      </c>
      <c r="B11" s="2" t="s">
        <v>57</v>
      </c>
      <c r="C11" s="2" t="s">
        <v>58</v>
      </c>
      <c r="D11" s="2" t="s">
        <v>59</v>
      </c>
      <c r="E11" s="2" t="s">
        <v>60</v>
      </c>
      <c r="F11" s="2">
        <v>13</v>
      </c>
      <c r="G11" s="2">
        <v>1</v>
      </c>
      <c r="H11" s="10">
        <v>13867.6</v>
      </c>
      <c r="I11" s="10">
        <v>9245.07</v>
      </c>
      <c r="J11" s="2" t="s">
        <v>36</v>
      </c>
      <c r="K11" s="2" t="s">
        <v>64</v>
      </c>
      <c r="L11" s="2">
        <v>75000</v>
      </c>
      <c r="M11" s="2" t="s">
        <v>21</v>
      </c>
      <c r="N11" s="2" t="s">
        <v>65</v>
      </c>
    </row>
    <row r="12" s="2" customFormat="1" spans="1:14">
      <c r="A12" s="2" t="s">
        <v>66</v>
      </c>
      <c r="B12" s="2" t="s">
        <v>32</v>
      </c>
      <c r="C12" s="2" t="s">
        <v>33</v>
      </c>
      <c r="D12" s="2" t="s">
        <v>34</v>
      </c>
      <c r="E12" s="2" t="s">
        <v>35</v>
      </c>
      <c r="F12" s="2">
        <v>13</v>
      </c>
      <c r="G12" s="2">
        <v>1</v>
      </c>
      <c r="H12" s="10">
        <v>13682.9</v>
      </c>
      <c r="I12" s="10">
        <v>9121.93</v>
      </c>
      <c r="J12" s="2" t="s">
        <v>36</v>
      </c>
      <c r="K12" s="2" t="s">
        <v>67</v>
      </c>
      <c r="L12" s="2">
        <v>75000</v>
      </c>
      <c r="M12" s="2" t="s">
        <v>21</v>
      </c>
      <c r="N12" s="2" t="s">
        <v>68</v>
      </c>
    </row>
    <row r="13" s="2" customFormat="1" spans="1:14">
      <c r="A13" s="2" t="s">
        <v>69</v>
      </c>
      <c r="B13" s="2" t="s">
        <v>45</v>
      </c>
      <c r="C13" s="2" t="s">
        <v>46</v>
      </c>
      <c r="D13" s="2" t="s">
        <v>47</v>
      </c>
      <c r="E13" s="2" t="s">
        <v>48</v>
      </c>
      <c r="F13" s="2">
        <v>12</v>
      </c>
      <c r="G13" s="2">
        <v>2</v>
      </c>
      <c r="H13" s="10">
        <v>22282</v>
      </c>
      <c r="I13" s="10">
        <v>8912.8</v>
      </c>
      <c r="J13" s="2" t="s">
        <v>19</v>
      </c>
      <c r="K13" s="2" t="s">
        <v>70</v>
      </c>
      <c r="L13" s="2">
        <v>100000</v>
      </c>
      <c r="M13" s="2" t="s">
        <v>21</v>
      </c>
      <c r="N13" s="2" t="s">
        <v>71</v>
      </c>
    </row>
    <row r="14" s="2" customFormat="1" spans="1:14">
      <c r="A14" s="2" t="s">
        <v>72</v>
      </c>
      <c r="B14" s="2" t="s">
        <v>15</v>
      </c>
      <c r="C14" s="2" t="s">
        <v>16</v>
      </c>
      <c r="D14" s="2" t="s">
        <v>73</v>
      </c>
      <c r="E14" s="2" t="s">
        <v>74</v>
      </c>
      <c r="F14" s="2">
        <v>12</v>
      </c>
      <c r="G14" s="2">
        <v>2</v>
      </c>
      <c r="H14" s="10">
        <v>22128.2</v>
      </c>
      <c r="I14" s="10">
        <v>8851.28</v>
      </c>
      <c r="J14" s="2" t="s">
        <v>19</v>
      </c>
      <c r="K14" s="2" t="s">
        <v>64</v>
      </c>
      <c r="L14" s="2">
        <v>100000</v>
      </c>
      <c r="M14" s="2" t="s">
        <v>21</v>
      </c>
      <c r="N14" s="2" t="s">
        <v>75</v>
      </c>
    </row>
    <row r="15" s="2" customFormat="1" spans="1:14">
      <c r="A15" s="2" t="s">
        <v>76</v>
      </c>
      <c r="B15" s="2" t="s">
        <v>15</v>
      </c>
      <c r="C15" s="2" t="s">
        <v>16</v>
      </c>
      <c r="D15" s="2" t="s">
        <v>73</v>
      </c>
      <c r="E15" s="2" t="s">
        <v>74</v>
      </c>
      <c r="F15" s="11" t="s">
        <v>77</v>
      </c>
      <c r="G15" s="2">
        <v>5</v>
      </c>
      <c r="H15" s="10">
        <v>48114.2</v>
      </c>
      <c r="I15" s="10">
        <v>8748.04</v>
      </c>
      <c r="J15" s="2" t="s">
        <v>28</v>
      </c>
      <c r="K15" s="2" t="s">
        <v>78</v>
      </c>
      <c r="L15" s="2">
        <v>100000</v>
      </c>
      <c r="M15" s="2" t="s">
        <v>21</v>
      </c>
      <c r="N15" s="2" t="s">
        <v>79</v>
      </c>
    </row>
    <row r="16" s="2" customFormat="1" spans="1:14">
      <c r="A16" s="2" t="s">
        <v>80</v>
      </c>
      <c r="B16" s="2" t="s">
        <v>57</v>
      </c>
      <c r="C16" s="2" t="s">
        <v>58</v>
      </c>
      <c r="D16" s="2" t="s">
        <v>59</v>
      </c>
      <c r="E16" s="2" t="s">
        <v>60</v>
      </c>
      <c r="F16" s="2">
        <v>11</v>
      </c>
      <c r="G16" s="2">
        <v>3</v>
      </c>
      <c r="H16" s="10">
        <v>30555.3</v>
      </c>
      <c r="I16" s="10">
        <v>8730.09</v>
      </c>
      <c r="J16" s="2" t="s">
        <v>36</v>
      </c>
      <c r="K16" s="2" t="s">
        <v>81</v>
      </c>
      <c r="L16" s="2">
        <v>75000</v>
      </c>
      <c r="M16" s="2" t="s">
        <v>21</v>
      </c>
      <c r="N16" s="2" t="s">
        <v>82</v>
      </c>
    </row>
    <row r="17" s="2" customFormat="1" spans="1:14">
      <c r="A17" s="2" t="s">
        <v>83</v>
      </c>
      <c r="B17" s="2" t="s">
        <v>45</v>
      </c>
      <c r="C17" s="2" t="s">
        <v>46</v>
      </c>
      <c r="D17" s="2" t="s">
        <v>47</v>
      </c>
      <c r="E17" s="2" t="s">
        <v>48</v>
      </c>
      <c r="F17" s="2">
        <v>11</v>
      </c>
      <c r="G17" s="2">
        <v>3</v>
      </c>
      <c r="H17" s="10">
        <v>29102.3</v>
      </c>
      <c r="I17" s="10">
        <v>8314.94</v>
      </c>
      <c r="J17" s="2" t="s">
        <v>36</v>
      </c>
      <c r="K17" s="2" t="s">
        <v>29</v>
      </c>
      <c r="L17" s="2">
        <v>100000</v>
      </c>
      <c r="M17" s="2" t="s">
        <v>21</v>
      </c>
      <c r="N17" s="2" t="s">
        <v>84</v>
      </c>
    </row>
    <row r="18" s="2" customFormat="1" spans="1:14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>
        <v>11</v>
      </c>
      <c r="G18" s="2">
        <v>3</v>
      </c>
      <c r="H18" s="10">
        <v>27394.2</v>
      </c>
      <c r="I18" s="10">
        <v>7826.91</v>
      </c>
      <c r="J18" s="2" t="s">
        <v>36</v>
      </c>
      <c r="K18" s="2" t="s">
        <v>42</v>
      </c>
      <c r="L18" s="2">
        <v>75000</v>
      </c>
      <c r="M18" s="2" t="s">
        <v>21</v>
      </c>
      <c r="N18" s="2" t="s">
        <v>90</v>
      </c>
    </row>
    <row r="19" s="2" customFormat="1" spans="1:14">
      <c r="A19" s="2" t="s">
        <v>91</v>
      </c>
      <c r="B19" s="2" t="s">
        <v>24</v>
      </c>
      <c r="C19" s="2" t="s">
        <v>25</v>
      </c>
      <c r="D19" s="2" t="s">
        <v>26</v>
      </c>
      <c r="E19" s="2" t="s">
        <v>27</v>
      </c>
      <c r="F19" s="2">
        <v>12</v>
      </c>
      <c r="G19" s="2">
        <v>2</v>
      </c>
      <c r="H19" s="10">
        <v>19421.1</v>
      </c>
      <c r="I19" s="10">
        <v>7768.44</v>
      </c>
      <c r="J19" s="2" t="s">
        <v>36</v>
      </c>
      <c r="K19" s="2" t="s">
        <v>92</v>
      </c>
      <c r="L19" s="2">
        <v>100000</v>
      </c>
      <c r="M19" s="2" t="s">
        <v>21</v>
      </c>
      <c r="N19" s="2" t="s">
        <v>93</v>
      </c>
    </row>
    <row r="20" s="2" customFormat="1" spans="1:14">
      <c r="A20" s="2" t="s">
        <v>94</v>
      </c>
      <c r="B20" s="2" t="s">
        <v>32</v>
      </c>
      <c r="C20" s="2" t="s">
        <v>33</v>
      </c>
      <c r="D20" s="2" t="s">
        <v>34</v>
      </c>
      <c r="E20" s="2" t="s">
        <v>35</v>
      </c>
      <c r="F20" s="2">
        <v>12</v>
      </c>
      <c r="G20" s="2">
        <v>2</v>
      </c>
      <c r="H20" s="10">
        <v>19341.7</v>
      </c>
      <c r="I20" s="10">
        <v>7736.68</v>
      </c>
      <c r="J20" s="2" t="s">
        <v>28</v>
      </c>
      <c r="K20" s="2" t="s">
        <v>95</v>
      </c>
      <c r="L20" s="2">
        <v>75000</v>
      </c>
      <c r="M20" s="2" t="s">
        <v>21</v>
      </c>
      <c r="N20" s="2" t="s">
        <v>96</v>
      </c>
    </row>
    <row r="21" s="2" customFormat="1" spans="1:14">
      <c r="A21" s="2" t="s">
        <v>97</v>
      </c>
      <c r="B21" s="2" t="s">
        <v>57</v>
      </c>
      <c r="C21" s="2" t="s">
        <v>58</v>
      </c>
      <c r="D21" s="2" t="s">
        <v>59</v>
      </c>
      <c r="E21" s="2" t="s">
        <v>60</v>
      </c>
      <c r="F21" s="2">
        <v>10</v>
      </c>
      <c r="G21" s="2">
        <v>4</v>
      </c>
      <c r="H21" s="10">
        <v>33477.2</v>
      </c>
      <c r="I21" s="10">
        <v>7439.38</v>
      </c>
      <c r="J21" s="2" t="s">
        <v>36</v>
      </c>
      <c r="K21" s="2" t="s">
        <v>98</v>
      </c>
      <c r="L21" s="2">
        <v>75000</v>
      </c>
      <c r="M21" s="2" t="s">
        <v>21</v>
      </c>
      <c r="N21" s="2" t="s">
        <v>99</v>
      </c>
    </row>
    <row r="22" s="2" customFormat="1" spans="1:14">
      <c r="A22" s="2" t="s">
        <v>100</v>
      </c>
      <c r="B22" s="2" t="s">
        <v>57</v>
      </c>
      <c r="C22" s="2" t="s">
        <v>58</v>
      </c>
      <c r="D22" s="2" t="s">
        <v>101</v>
      </c>
      <c r="E22" s="2" t="s">
        <v>102</v>
      </c>
      <c r="F22" s="2">
        <v>14</v>
      </c>
      <c r="G22" s="2">
        <v>0</v>
      </c>
      <c r="H22" s="10">
        <v>3708.1</v>
      </c>
      <c r="I22" s="10">
        <v>7416.2</v>
      </c>
      <c r="J22" s="2" t="s">
        <v>36</v>
      </c>
      <c r="K22" s="2" t="s">
        <v>70</v>
      </c>
      <c r="L22" s="2">
        <v>100000</v>
      </c>
      <c r="M22" s="2" t="s">
        <v>21</v>
      </c>
      <c r="N22" s="2" t="s">
        <v>103</v>
      </c>
    </row>
    <row r="23" s="2" customFormat="1" spans="1:14">
      <c r="A23" s="2" t="s">
        <v>104</v>
      </c>
      <c r="B23" s="2" t="s">
        <v>24</v>
      </c>
      <c r="C23" s="2" t="s">
        <v>25</v>
      </c>
      <c r="D23" s="2" t="s">
        <v>105</v>
      </c>
      <c r="E23" s="2" t="s">
        <v>106</v>
      </c>
      <c r="F23" s="2">
        <v>10</v>
      </c>
      <c r="G23" s="2">
        <v>4</v>
      </c>
      <c r="H23" s="10">
        <v>31144.4</v>
      </c>
      <c r="I23" s="10">
        <v>6920.98</v>
      </c>
      <c r="J23" s="2" t="s">
        <v>36</v>
      </c>
      <c r="K23" s="2" t="s">
        <v>61</v>
      </c>
      <c r="L23" s="2">
        <v>100000</v>
      </c>
      <c r="M23" s="2" t="s">
        <v>21</v>
      </c>
      <c r="N23" s="2" t="s">
        <v>107</v>
      </c>
    </row>
    <row r="24" s="2" customFormat="1" spans="1:14">
      <c r="A24" s="2" t="s">
        <v>108</v>
      </c>
      <c r="B24" s="2" t="s">
        <v>32</v>
      </c>
      <c r="C24" s="2" t="s">
        <v>33</v>
      </c>
      <c r="D24" s="2" t="s">
        <v>109</v>
      </c>
      <c r="E24" s="2" t="s">
        <v>110</v>
      </c>
      <c r="F24" s="11" t="s">
        <v>111</v>
      </c>
      <c r="G24" s="2">
        <v>6</v>
      </c>
      <c r="H24" s="10">
        <v>44946.5</v>
      </c>
      <c r="I24" s="10">
        <v>6914.85</v>
      </c>
      <c r="J24" s="2" t="s">
        <v>112</v>
      </c>
      <c r="K24" s="2" t="s">
        <v>81</v>
      </c>
      <c r="L24" s="2">
        <v>50000</v>
      </c>
      <c r="M24" s="2" t="s">
        <v>21</v>
      </c>
      <c r="N24" s="2" t="s">
        <v>113</v>
      </c>
    </row>
    <row r="25" s="2" customFormat="1" spans="1:14">
      <c r="A25" s="2" t="s">
        <v>114</v>
      </c>
      <c r="B25" s="2" t="s">
        <v>86</v>
      </c>
      <c r="C25" s="2" t="s">
        <v>87</v>
      </c>
      <c r="D25" s="2" t="s">
        <v>115</v>
      </c>
      <c r="E25" s="2" t="s">
        <v>116</v>
      </c>
      <c r="F25" s="11" t="s">
        <v>117</v>
      </c>
      <c r="G25" s="2">
        <v>10</v>
      </c>
      <c r="H25" s="10">
        <v>72527.2</v>
      </c>
      <c r="I25" s="10">
        <v>6907.35</v>
      </c>
      <c r="J25" s="2" t="s">
        <v>28</v>
      </c>
      <c r="K25" s="2" t="s">
        <v>92</v>
      </c>
      <c r="L25" s="2">
        <v>75000</v>
      </c>
      <c r="M25" s="2" t="s">
        <v>21</v>
      </c>
      <c r="N25" s="2" t="s">
        <v>118</v>
      </c>
    </row>
    <row r="26" s="2" customFormat="1" spans="1:14">
      <c r="A26" s="2" t="s">
        <v>119</v>
      </c>
      <c r="B26" s="2" t="s">
        <v>57</v>
      </c>
      <c r="C26" s="2" t="s">
        <v>58</v>
      </c>
      <c r="D26" s="2" t="s">
        <v>101</v>
      </c>
      <c r="E26" s="2" t="s">
        <v>102</v>
      </c>
      <c r="F26" s="11" t="s">
        <v>120</v>
      </c>
      <c r="G26" s="2">
        <v>7</v>
      </c>
      <c r="H26" s="10">
        <v>50854.1</v>
      </c>
      <c r="I26" s="10">
        <v>6780.55</v>
      </c>
      <c r="J26" s="2" t="s">
        <v>36</v>
      </c>
      <c r="K26" s="2" t="s">
        <v>98</v>
      </c>
      <c r="L26" s="2">
        <v>100000</v>
      </c>
      <c r="M26" s="2" t="s">
        <v>21</v>
      </c>
      <c r="N26" s="2" t="s">
        <v>121</v>
      </c>
    </row>
    <row r="27" s="2" customFormat="1" spans="1:14">
      <c r="A27" s="2" t="s">
        <v>122</v>
      </c>
      <c r="B27" s="2" t="s">
        <v>57</v>
      </c>
      <c r="C27" s="2" t="s">
        <v>58</v>
      </c>
      <c r="D27" s="2" t="s">
        <v>101</v>
      </c>
      <c r="E27" s="2" t="s">
        <v>102</v>
      </c>
      <c r="F27" s="11" t="s">
        <v>111</v>
      </c>
      <c r="G27" s="2">
        <v>6</v>
      </c>
      <c r="H27" s="10">
        <v>42504.6</v>
      </c>
      <c r="I27" s="10">
        <v>6539.17</v>
      </c>
      <c r="J27" s="2" t="s">
        <v>28</v>
      </c>
      <c r="K27" s="2" t="s">
        <v>67</v>
      </c>
      <c r="L27" s="2">
        <v>100000</v>
      </c>
      <c r="M27" s="2" t="s">
        <v>21</v>
      </c>
      <c r="N27" s="2" t="s">
        <v>123</v>
      </c>
    </row>
    <row r="28" s="2" customFormat="1" spans="1:14">
      <c r="A28" s="2" t="s">
        <v>124</v>
      </c>
      <c r="B28" s="2" t="s">
        <v>32</v>
      </c>
      <c r="C28" s="2" t="s">
        <v>33</v>
      </c>
      <c r="D28" s="2" t="s">
        <v>34</v>
      </c>
      <c r="E28" s="2" t="s">
        <v>35</v>
      </c>
      <c r="F28" s="11" t="s">
        <v>77</v>
      </c>
      <c r="G28" s="2">
        <v>5</v>
      </c>
      <c r="H28" s="10">
        <v>35137</v>
      </c>
      <c r="I28" s="10">
        <v>6388.55</v>
      </c>
      <c r="J28" s="2" t="s">
        <v>36</v>
      </c>
      <c r="K28" s="2" t="s">
        <v>78</v>
      </c>
      <c r="L28" s="2">
        <v>75000</v>
      </c>
      <c r="M28" s="2" t="s">
        <v>21</v>
      </c>
      <c r="N28" s="2" t="s">
        <v>125</v>
      </c>
    </row>
    <row r="29" s="2" customFormat="1" spans="1:14">
      <c r="A29" s="2" t="s">
        <v>126</v>
      </c>
      <c r="B29" s="2" t="s">
        <v>15</v>
      </c>
      <c r="C29" s="2" t="s">
        <v>16</v>
      </c>
      <c r="D29" s="2" t="s">
        <v>17</v>
      </c>
      <c r="E29" s="2" t="s">
        <v>18</v>
      </c>
      <c r="F29" s="11" t="s">
        <v>127</v>
      </c>
      <c r="G29" s="2">
        <v>11</v>
      </c>
      <c r="H29" s="10">
        <v>73444.4</v>
      </c>
      <c r="I29" s="10">
        <v>6386.47</v>
      </c>
      <c r="J29" s="2" t="s">
        <v>36</v>
      </c>
      <c r="K29" s="2" t="s">
        <v>128</v>
      </c>
      <c r="L29" s="2">
        <v>100000</v>
      </c>
      <c r="M29" s="2" t="s">
        <v>21</v>
      </c>
      <c r="N29" s="2" t="s">
        <v>129</v>
      </c>
    </row>
    <row r="30" s="2" customFormat="1" spans="1:14">
      <c r="A30" s="2" t="s">
        <v>130</v>
      </c>
      <c r="B30" s="2" t="s">
        <v>57</v>
      </c>
      <c r="C30" s="2" t="s">
        <v>58</v>
      </c>
      <c r="D30" s="2" t="s">
        <v>101</v>
      </c>
      <c r="E30" s="2" t="s">
        <v>102</v>
      </c>
      <c r="F30" s="11" t="s">
        <v>131</v>
      </c>
      <c r="G30" s="2">
        <v>9</v>
      </c>
      <c r="H30" s="10">
        <v>60389.5</v>
      </c>
      <c r="I30" s="10">
        <v>6356.79</v>
      </c>
      <c r="J30" s="2" t="s">
        <v>28</v>
      </c>
      <c r="K30" s="2" t="s">
        <v>78</v>
      </c>
      <c r="L30" s="2">
        <v>100000</v>
      </c>
      <c r="M30" s="2" t="s">
        <v>21</v>
      </c>
      <c r="N30" s="2" t="s">
        <v>132</v>
      </c>
    </row>
    <row r="31" s="2" customFormat="1" spans="1:14">
      <c r="A31" s="2" t="s">
        <v>133</v>
      </c>
      <c r="B31" s="2" t="s">
        <v>15</v>
      </c>
      <c r="C31" s="2" t="s">
        <v>16</v>
      </c>
      <c r="D31" s="2" t="s">
        <v>73</v>
      </c>
      <c r="E31" s="2" t="s">
        <v>74</v>
      </c>
      <c r="F31" s="2">
        <v>96</v>
      </c>
      <c r="G31" s="2">
        <v>18</v>
      </c>
      <c r="H31" s="10">
        <v>114660.6</v>
      </c>
      <c r="I31" s="10">
        <v>6197.87</v>
      </c>
      <c r="J31" s="2" t="s">
        <v>112</v>
      </c>
      <c r="K31" s="2" t="s">
        <v>64</v>
      </c>
      <c r="L31" s="2">
        <v>100000</v>
      </c>
      <c r="M31" s="2" t="s">
        <v>134</v>
      </c>
      <c r="N31" s="2" t="s">
        <v>135</v>
      </c>
    </row>
    <row r="32" s="2" customFormat="1" spans="1:14">
      <c r="A32" s="2" t="s">
        <v>136</v>
      </c>
      <c r="B32" s="2" t="s">
        <v>86</v>
      </c>
      <c r="C32" s="2" t="s">
        <v>87</v>
      </c>
      <c r="D32" s="2" t="s">
        <v>88</v>
      </c>
      <c r="E32" s="2" t="s">
        <v>89</v>
      </c>
      <c r="F32" s="11" t="s">
        <v>117</v>
      </c>
      <c r="G32" s="2">
        <v>10</v>
      </c>
      <c r="H32" s="10">
        <v>64542</v>
      </c>
      <c r="I32" s="10">
        <v>6146.86</v>
      </c>
      <c r="J32" s="2" t="s">
        <v>19</v>
      </c>
      <c r="K32" s="2" t="s">
        <v>37</v>
      </c>
      <c r="L32" s="2">
        <v>75000</v>
      </c>
      <c r="M32" s="2" t="s">
        <v>21</v>
      </c>
      <c r="N32" s="2" t="s">
        <v>137</v>
      </c>
    </row>
    <row r="33" s="2" customFormat="1" spans="1:14">
      <c r="A33" s="2" t="s">
        <v>138</v>
      </c>
      <c r="B33" s="2" t="s">
        <v>32</v>
      </c>
      <c r="C33" s="2" t="s">
        <v>33</v>
      </c>
      <c r="D33" s="2" t="s">
        <v>34</v>
      </c>
      <c r="E33" s="2" t="s">
        <v>35</v>
      </c>
      <c r="F33" s="11" t="s">
        <v>139</v>
      </c>
      <c r="G33" s="2">
        <v>8</v>
      </c>
      <c r="H33" s="10">
        <v>52229.5</v>
      </c>
      <c r="I33" s="10">
        <v>6144.65</v>
      </c>
      <c r="J33" s="2" t="s">
        <v>112</v>
      </c>
      <c r="K33" s="2" t="s">
        <v>81</v>
      </c>
      <c r="L33" s="2">
        <v>75000</v>
      </c>
      <c r="M33" s="2" t="s">
        <v>21</v>
      </c>
      <c r="N33" s="2" t="s">
        <v>140</v>
      </c>
    </row>
    <row r="34" s="2" customFormat="1" spans="1:14">
      <c r="A34" s="2" t="s">
        <v>141</v>
      </c>
      <c r="B34" s="2" t="s">
        <v>15</v>
      </c>
      <c r="C34" s="2" t="s">
        <v>16</v>
      </c>
      <c r="D34" s="2" t="s">
        <v>73</v>
      </c>
      <c r="E34" s="2" t="s">
        <v>74</v>
      </c>
      <c r="F34" s="11" t="s">
        <v>142</v>
      </c>
      <c r="G34" s="2">
        <v>14</v>
      </c>
      <c r="H34" s="10">
        <v>85928</v>
      </c>
      <c r="I34" s="10">
        <v>5926.07</v>
      </c>
      <c r="J34" s="2" t="s">
        <v>112</v>
      </c>
      <c r="K34" s="2" t="s">
        <v>49</v>
      </c>
      <c r="L34" s="2">
        <v>100000</v>
      </c>
      <c r="M34" s="2" t="s">
        <v>21</v>
      </c>
      <c r="N34" s="2" t="s">
        <v>143</v>
      </c>
    </row>
    <row r="35" s="2" customFormat="1" spans="1:14">
      <c r="A35" s="2" t="s">
        <v>144</v>
      </c>
      <c r="B35" s="2" t="s">
        <v>32</v>
      </c>
      <c r="C35" s="2" t="s">
        <v>33</v>
      </c>
      <c r="D35" s="2" t="s">
        <v>109</v>
      </c>
      <c r="E35" s="2" t="s">
        <v>110</v>
      </c>
      <c r="F35" s="11" t="s">
        <v>111</v>
      </c>
      <c r="G35" s="2">
        <v>6</v>
      </c>
      <c r="H35" s="10">
        <v>37558.8</v>
      </c>
      <c r="I35" s="10">
        <v>5778.28</v>
      </c>
      <c r="J35" s="2" t="s">
        <v>36</v>
      </c>
      <c r="K35" s="2" t="s">
        <v>145</v>
      </c>
      <c r="L35" s="2">
        <v>50000</v>
      </c>
      <c r="M35" s="2" t="s">
        <v>21</v>
      </c>
      <c r="N35" s="2" t="s">
        <v>146</v>
      </c>
    </row>
    <row r="36" s="2" customFormat="1" spans="1:14">
      <c r="A36" s="2" t="s">
        <v>147</v>
      </c>
      <c r="B36" s="2" t="s">
        <v>15</v>
      </c>
      <c r="C36" s="2" t="s">
        <v>16</v>
      </c>
      <c r="D36" s="2" t="s">
        <v>73</v>
      </c>
      <c r="E36" s="2" t="s">
        <v>74</v>
      </c>
      <c r="F36" s="2">
        <v>98</v>
      </c>
      <c r="G36" s="2">
        <v>16</v>
      </c>
      <c r="H36" s="10">
        <v>93382.6</v>
      </c>
      <c r="I36" s="10">
        <v>5659.55</v>
      </c>
      <c r="J36" s="2" t="s">
        <v>36</v>
      </c>
      <c r="K36" s="2" t="s">
        <v>98</v>
      </c>
      <c r="L36" s="2">
        <v>100000</v>
      </c>
      <c r="M36" s="2" t="s">
        <v>21</v>
      </c>
      <c r="N36" s="2" t="s">
        <v>148</v>
      </c>
    </row>
    <row r="37" s="2" customFormat="1" spans="1:14">
      <c r="A37" s="2" t="s">
        <v>149</v>
      </c>
      <c r="B37" s="2" t="s">
        <v>86</v>
      </c>
      <c r="C37" s="2" t="s">
        <v>87</v>
      </c>
      <c r="D37" s="2" t="s">
        <v>88</v>
      </c>
      <c r="E37" s="2" t="s">
        <v>89</v>
      </c>
      <c r="F37" s="11" t="s">
        <v>120</v>
      </c>
      <c r="G37" s="2">
        <v>7</v>
      </c>
      <c r="H37" s="10">
        <v>42074.2</v>
      </c>
      <c r="I37" s="10">
        <v>5609.89</v>
      </c>
      <c r="J37" s="2" t="s">
        <v>112</v>
      </c>
      <c r="K37" s="2" t="s">
        <v>128</v>
      </c>
      <c r="L37" s="2">
        <v>75000</v>
      </c>
      <c r="M37" s="2" t="s">
        <v>21</v>
      </c>
      <c r="N37" s="2" t="s">
        <v>150</v>
      </c>
    </row>
    <row r="38" s="2" customFormat="1" spans="1:14">
      <c r="A38" s="2" t="s">
        <v>151</v>
      </c>
      <c r="B38" s="2" t="s">
        <v>32</v>
      </c>
      <c r="C38" s="2" t="s">
        <v>33</v>
      </c>
      <c r="D38" s="2" t="s">
        <v>109</v>
      </c>
      <c r="E38" s="2" t="s">
        <v>110</v>
      </c>
      <c r="F38" s="11" t="s">
        <v>111</v>
      </c>
      <c r="G38" s="2">
        <v>6</v>
      </c>
      <c r="H38" s="10">
        <v>36438.5</v>
      </c>
      <c r="I38" s="10">
        <v>5605.92</v>
      </c>
      <c r="J38" s="2" t="s">
        <v>28</v>
      </c>
      <c r="K38" s="2" t="s">
        <v>37</v>
      </c>
      <c r="L38" s="2">
        <v>50000</v>
      </c>
      <c r="M38" s="2" t="s">
        <v>21</v>
      </c>
      <c r="N38" s="2" t="s">
        <v>152</v>
      </c>
    </row>
    <row r="39" s="2" customFormat="1" spans="1:14">
      <c r="A39" s="2" t="s">
        <v>153</v>
      </c>
      <c r="B39" s="2" t="s">
        <v>24</v>
      </c>
      <c r="C39" s="2" t="s">
        <v>25</v>
      </c>
      <c r="D39" s="2" t="s">
        <v>105</v>
      </c>
      <c r="E39" s="2" t="s">
        <v>106</v>
      </c>
      <c r="F39" s="11" t="s">
        <v>142</v>
      </c>
      <c r="G39" s="2">
        <v>14</v>
      </c>
      <c r="H39" s="10">
        <v>80685.8</v>
      </c>
      <c r="I39" s="10">
        <v>5564.54</v>
      </c>
      <c r="J39" s="2" t="s">
        <v>19</v>
      </c>
      <c r="K39" s="2" t="s">
        <v>42</v>
      </c>
      <c r="L39" s="2">
        <v>100000</v>
      </c>
      <c r="M39" s="2" t="s">
        <v>21</v>
      </c>
      <c r="N39" s="2" t="s">
        <v>154</v>
      </c>
    </row>
    <row r="40" s="2" customFormat="1" spans="1:14">
      <c r="A40" s="2" t="s">
        <v>155</v>
      </c>
      <c r="B40" s="2" t="s">
        <v>32</v>
      </c>
      <c r="C40" s="2" t="s">
        <v>33</v>
      </c>
      <c r="D40" s="2" t="s">
        <v>34</v>
      </c>
      <c r="E40" s="2" t="s">
        <v>35</v>
      </c>
      <c r="F40" s="11" t="s">
        <v>139</v>
      </c>
      <c r="G40" s="2">
        <v>8</v>
      </c>
      <c r="H40" s="10">
        <v>46311.4</v>
      </c>
      <c r="I40" s="10">
        <v>5448.4</v>
      </c>
      <c r="J40" s="2" t="s">
        <v>112</v>
      </c>
      <c r="K40" s="2" t="s">
        <v>49</v>
      </c>
      <c r="L40" s="2">
        <v>75000</v>
      </c>
      <c r="M40" s="2" t="s">
        <v>21</v>
      </c>
      <c r="N40" s="2" t="s">
        <v>156</v>
      </c>
    </row>
    <row r="41" s="2" customFormat="1" spans="1:14">
      <c r="A41" s="2" t="s">
        <v>157</v>
      </c>
      <c r="B41" s="2" t="s">
        <v>15</v>
      </c>
      <c r="C41" s="2" t="s">
        <v>16</v>
      </c>
      <c r="D41" s="2" t="s">
        <v>73</v>
      </c>
      <c r="E41" s="2" t="s">
        <v>74</v>
      </c>
      <c r="F41" s="11" t="s">
        <v>158</v>
      </c>
      <c r="G41" s="2">
        <v>12</v>
      </c>
      <c r="H41" s="10">
        <v>67829.1</v>
      </c>
      <c r="I41" s="10">
        <v>5426.33</v>
      </c>
      <c r="J41" s="2" t="s">
        <v>36</v>
      </c>
      <c r="K41" s="2" t="s">
        <v>37</v>
      </c>
      <c r="L41" s="2">
        <v>100000</v>
      </c>
      <c r="M41" s="2" t="s">
        <v>21</v>
      </c>
      <c r="N41" s="2" t="s">
        <v>159</v>
      </c>
    </row>
    <row r="42" s="2" customFormat="1" spans="1:14">
      <c r="A42" s="2" t="s">
        <v>160</v>
      </c>
      <c r="B42" s="2" t="s">
        <v>86</v>
      </c>
      <c r="C42" s="2" t="s">
        <v>87</v>
      </c>
      <c r="D42" s="2" t="s">
        <v>115</v>
      </c>
      <c r="E42" s="2" t="s">
        <v>116</v>
      </c>
      <c r="F42" s="11" t="s">
        <v>142</v>
      </c>
      <c r="G42" s="2">
        <v>14</v>
      </c>
      <c r="H42" s="10">
        <v>77243.1</v>
      </c>
      <c r="I42" s="10">
        <v>5327.11</v>
      </c>
      <c r="J42" s="2" t="s">
        <v>36</v>
      </c>
      <c r="K42" s="2" t="s">
        <v>145</v>
      </c>
      <c r="L42" s="2">
        <v>75000</v>
      </c>
      <c r="M42" s="2" t="s">
        <v>134</v>
      </c>
      <c r="N42" s="2" t="s">
        <v>161</v>
      </c>
    </row>
    <row r="43" s="2" customFormat="1" spans="1:14">
      <c r="A43" s="2" t="s">
        <v>162</v>
      </c>
      <c r="B43" s="2" t="s">
        <v>57</v>
      </c>
      <c r="C43" s="2" t="s">
        <v>58</v>
      </c>
      <c r="D43" s="2" t="s">
        <v>59</v>
      </c>
      <c r="E43" s="2" t="s">
        <v>60</v>
      </c>
      <c r="F43" s="2">
        <v>99</v>
      </c>
      <c r="G43" s="2">
        <v>15</v>
      </c>
      <c r="H43" s="10">
        <v>82374</v>
      </c>
      <c r="I43" s="10">
        <v>5314.45</v>
      </c>
      <c r="J43" s="2" t="s">
        <v>28</v>
      </c>
      <c r="K43" s="2" t="s">
        <v>67</v>
      </c>
      <c r="L43" s="2">
        <v>75000</v>
      </c>
      <c r="M43" s="2" t="s">
        <v>134</v>
      </c>
      <c r="N43" s="2" t="s">
        <v>163</v>
      </c>
    </row>
    <row r="44" s="2" customFormat="1" spans="1:14">
      <c r="A44" s="2" t="s">
        <v>164</v>
      </c>
      <c r="B44" s="2" t="s">
        <v>32</v>
      </c>
      <c r="C44" s="2" t="s">
        <v>33</v>
      </c>
      <c r="D44" s="2" t="s">
        <v>109</v>
      </c>
      <c r="E44" s="2" t="s">
        <v>110</v>
      </c>
      <c r="F44" s="11" t="s">
        <v>139</v>
      </c>
      <c r="G44" s="2">
        <v>8</v>
      </c>
      <c r="H44" s="10">
        <v>44974.8</v>
      </c>
      <c r="I44" s="10">
        <v>5291.15</v>
      </c>
      <c r="J44" s="2" t="s">
        <v>28</v>
      </c>
      <c r="K44" s="2" t="s">
        <v>70</v>
      </c>
      <c r="L44" s="2">
        <v>50000</v>
      </c>
      <c r="M44" s="2" t="s">
        <v>21</v>
      </c>
      <c r="N44" s="2" t="s">
        <v>165</v>
      </c>
    </row>
    <row r="45" s="2" customFormat="1" spans="1:14">
      <c r="A45" s="2" t="s">
        <v>166</v>
      </c>
      <c r="B45" s="2" t="s">
        <v>57</v>
      </c>
      <c r="C45" s="2" t="s">
        <v>58</v>
      </c>
      <c r="D45" s="2" t="s">
        <v>59</v>
      </c>
      <c r="E45" s="2" t="s">
        <v>60</v>
      </c>
      <c r="F45" s="11" t="s">
        <v>167</v>
      </c>
      <c r="G45" s="2">
        <v>13</v>
      </c>
      <c r="H45" s="10">
        <v>69891.9</v>
      </c>
      <c r="I45" s="10">
        <v>5177.18</v>
      </c>
      <c r="J45" s="2" t="s">
        <v>19</v>
      </c>
      <c r="K45" s="2" t="s">
        <v>145</v>
      </c>
      <c r="L45" s="2">
        <v>75000</v>
      </c>
      <c r="M45" s="2" t="s">
        <v>21</v>
      </c>
      <c r="N45" s="2" t="s">
        <v>168</v>
      </c>
    </row>
    <row r="46" s="2" customFormat="1" spans="1:14">
      <c r="A46" s="2" t="s">
        <v>169</v>
      </c>
      <c r="B46" s="2" t="s">
        <v>24</v>
      </c>
      <c r="C46" s="2" t="s">
        <v>25</v>
      </c>
      <c r="D46" s="2" t="s">
        <v>26</v>
      </c>
      <c r="E46" s="2" t="s">
        <v>27</v>
      </c>
      <c r="F46" s="11" t="s">
        <v>77</v>
      </c>
      <c r="G46" s="2">
        <v>5</v>
      </c>
      <c r="H46" s="10">
        <v>28464.8</v>
      </c>
      <c r="I46" s="10">
        <v>5175.42</v>
      </c>
      <c r="J46" s="2" t="s">
        <v>28</v>
      </c>
      <c r="K46" s="2" t="s">
        <v>54</v>
      </c>
      <c r="L46" s="2">
        <v>100000</v>
      </c>
      <c r="M46" s="2" t="s">
        <v>21</v>
      </c>
      <c r="N46" s="2" t="s">
        <v>170</v>
      </c>
    </row>
    <row r="47" s="2" customFormat="1" spans="1:14">
      <c r="A47" s="2" t="s">
        <v>171</v>
      </c>
      <c r="B47" s="2" t="s">
        <v>15</v>
      </c>
      <c r="C47" s="2" t="s">
        <v>16</v>
      </c>
      <c r="D47" s="2" t="s">
        <v>17</v>
      </c>
      <c r="E47" s="2" t="s">
        <v>18</v>
      </c>
      <c r="F47" s="11" t="s">
        <v>158</v>
      </c>
      <c r="G47" s="2">
        <v>12</v>
      </c>
      <c r="H47" s="10">
        <v>64467.4</v>
      </c>
      <c r="I47" s="10">
        <v>5157.39</v>
      </c>
      <c r="J47" s="2" t="s">
        <v>172</v>
      </c>
      <c r="K47" s="2" t="s">
        <v>128</v>
      </c>
      <c r="L47" s="2">
        <v>100000</v>
      </c>
      <c r="M47" s="2" t="s">
        <v>21</v>
      </c>
      <c r="N47" s="2" t="s">
        <v>173</v>
      </c>
    </row>
    <row r="48" s="2" customFormat="1" spans="1:14">
      <c r="A48" s="2" t="s">
        <v>174</v>
      </c>
      <c r="B48" s="2" t="s">
        <v>86</v>
      </c>
      <c r="C48" s="2" t="s">
        <v>87</v>
      </c>
      <c r="D48" s="2" t="s">
        <v>115</v>
      </c>
      <c r="E48" s="2" t="s">
        <v>116</v>
      </c>
      <c r="F48" s="2">
        <v>99</v>
      </c>
      <c r="G48" s="2">
        <v>15</v>
      </c>
      <c r="H48" s="10">
        <v>79420.6</v>
      </c>
      <c r="I48" s="10">
        <v>5123.91</v>
      </c>
      <c r="J48" s="2" t="s">
        <v>112</v>
      </c>
      <c r="K48" s="2" t="s">
        <v>61</v>
      </c>
      <c r="L48" s="2">
        <v>75000</v>
      </c>
      <c r="M48" s="2" t="s">
        <v>134</v>
      </c>
      <c r="N48" s="2" t="s">
        <v>175</v>
      </c>
    </row>
    <row r="49" s="2" customFormat="1" spans="1:14">
      <c r="A49" s="2" t="s">
        <v>176</v>
      </c>
      <c r="B49" s="2" t="s">
        <v>57</v>
      </c>
      <c r="C49" s="2" t="s">
        <v>58</v>
      </c>
      <c r="D49" s="2" t="s">
        <v>101</v>
      </c>
      <c r="E49" s="2" t="s">
        <v>102</v>
      </c>
      <c r="F49" s="11" t="s">
        <v>167</v>
      </c>
      <c r="G49" s="2">
        <v>13</v>
      </c>
      <c r="H49" s="10">
        <v>68658.9</v>
      </c>
      <c r="I49" s="10">
        <v>5085.84</v>
      </c>
      <c r="J49" s="2" t="s">
        <v>36</v>
      </c>
      <c r="K49" s="2" t="s">
        <v>37</v>
      </c>
      <c r="L49" s="2">
        <v>100000</v>
      </c>
      <c r="M49" s="2" t="s">
        <v>21</v>
      </c>
      <c r="N49" s="2" t="s">
        <v>177</v>
      </c>
    </row>
    <row r="50" s="2" customFormat="1" spans="1:14">
      <c r="A50" s="2" t="s">
        <v>178</v>
      </c>
      <c r="B50" s="2" t="s">
        <v>24</v>
      </c>
      <c r="C50" s="2" t="s">
        <v>25</v>
      </c>
      <c r="D50" s="2" t="s">
        <v>105</v>
      </c>
      <c r="E50" s="2" t="s">
        <v>106</v>
      </c>
      <c r="F50" s="2">
        <v>98</v>
      </c>
      <c r="G50" s="2">
        <v>16</v>
      </c>
      <c r="H50" s="10">
        <v>83162.7</v>
      </c>
      <c r="I50" s="10">
        <v>5040.16</v>
      </c>
      <c r="J50" s="2" t="s">
        <v>36</v>
      </c>
      <c r="K50" s="2" t="s">
        <v>54</v>
      </c>
      <c r="L50" s="2">
        <v>100000</v>
      </c>
      <c r="M50" s="2" t="s">
        <v>21</v>
      </c>
      <c r="N50" s="2" t="s">
        <v>179</v>
      </c>
    </row>
    <row r="51" s="2" customFormat="1" spans="1:14">
      <c r="A51" s="2" t="s">
        <v>180</v>
      </c>
      <c r="B51" s="2" t="s">
        <v>86</v>
      </c>
      <c r="C51" s="2" t="s">
        <v>87</v>
      </c>
      <c r="D51" s="2" t="s">
        <v>115</v>
      </c>
      <c r="E51" s="2" t="s">
        <v>116</v>
      </c>
      <c r="F51" s="11" t="s">
        <v>117</v>
      </c>
      <c r="G51" s="2">
        <v>10</v>
      </c>
      <c r="H51" s="10">
        <v>52699.4</v>
      </c>
      <c r="I51" s="10">
        <v>5018.99</v>
      </c>
      <c r="J51" s="2" t="s">
        <v>172</v>
      </c>
      <c r="K51" s="2" t="s">
        <v>92</v>
      </c>
      <c r="L51" s="2">
        <v>75000</v>
      </c>
      <c r="M51" s="2" t="s">
        <v>21</v>
      </c>
      <c r="N51" s="2" t="s">
        <v>181</v>
      </c>
    </row>
    <row r="52" s="2" customFormat="1" spans="1:14">
      <c r="A52" s="2" t="s">
        <v>182</v>
      </c>
      <c r="B52" s="2" t="s">
        <v>57</v>
      </c>
      <c r="C52" s="2" t="s">
        <v>58</v>
      </c>
      <c r="D52" s="2" t="s">
        <v>59</v>
      </c>
      <c r="E52" s="2" t="s">
        <v>60</v>
      </c>
      <c r="F52" s="2">
        <v>10</v>
      </c>
      <c r="G52" s="2">
        <v>4</v>
      </c>
      <c r="H52" s="10">
        <v>22573</v>
      </c>
      <c r="I52" s="10">
        <v>5016.22</v>
      </c>
      <c r="J52" s="2" t="s">
        <v>19</v>
      </c>
      <c r="K52" s="2" t="s">
        <v>29</v>
      </c>
      <c r="L52" s="2">
        <v>75000</v>
      </c>
      <c r="M52" s="2" t="s">
        <v>21</v>
      </c>
      <c r="N52" s="2" t="s">
        <v>183</v>
      </c>
    </row>
    <row r="53" s="2" customFormat="1" spans="1:14">
      <c r="A53" s="2" t="s">
        <v>184</v>
      </c>
      <c r="B53" s="2" t="s">
        <v>32</v>
      </c>
      <c r="C53" s="2" t="s">
        <v>33</v>
      </c>
      <c r="D53" s="2" t="s">
        <v>109</v>
      </c>
      <c r="E53" s="2" t="s">
        <v>110</v>
      </c>
      <c r="F53" s="11" t="s">
        <v>139</v>
      </c>
      <c r="G53" s="2">
        <v>8</v>
      </c>
      <c r="H53" s="10">
        <v>40326.8</v>
      </c>
      <c r="I53" s="10">
        <v>4744.33</v>
      </c>
      <c r="J53" s="2" t="s">
        <v>36</v>
      </c>
      <c r="K53" s="2" t="s">
        <v>37</v>
      </c>
      <c r="L53" s="2">
        <v>50000</v>
      </c>
      <c r="M53" s="2" t="s">
        <v>21</v>
      </c>
      <c r="N53" s="2" t="s">
        <v>185</v>
      </c>
    </row>
    <row r="59" s="2" customFormat="1" spans="2:5">
      <c r="B59"/>
      <c r="C59"/>
      <c r="D59"/>
      <c r="E59"/>
    </row>
    <row r="60" s="2" customFormat="1" spans="2:6">
      <c r="B60"/>
      <c r="C60" s="2" t="s">
        <v>86</v>
      </c>
      <c r="D60" s="2" t="s">
        <v>87</v>
      </c>
      <c r="E60" s="2" t="s">
        <v>73</v>
      </c>
      <c r="F60" s="2" t="s">
        <v>74</v>
      </c>
    </row>
    <row r="61" s="2" customFormat="1" spans="2:6">
      <c r="B61"/>
      <c r="C61" s="2" t="s">
        <v>32</v>
      </c>
      <c r="D61" s="2" t="s">
        <v>33</v>
      </c>
      <c r="E61" s="2" t="s">
        <v>115</v>
      </c>
      <c r="F61" s="2" t="s">
        <v>116</v>
      </c>
    </row>
    <row r="62" s="2" customFormat="1" spans="2:6">
      <c r="B62"/>
      <c r="C62" s="2" t="s">
        <v>24</v>
      </c>
      <c r="D62" s="2" t="s">
        <v>25</v>
      </c>
      <c r="E62" s="2" t="s">
        <v>59</v>
      </c>
      <c r="F62" s="2" t="s">
        <v>60</v>
      </c>
    </row>
    <row r="63" s="2" customFormat="1" spans="2:6">
      <c r="B63"/>
      <c r="C63" s="2" t="s">
        <v>186</v>
      </c>
      <c r="D63" s="2" t="s">
        <v>58</v>
      </c>
      <c r="E63" s="2" t="s">
        <v>26</v>
      </c>
      <c r="F63" s="2" t="s">
        <v>27</v>
      </c>
    </row>
    <row r="64" s="2" customFormat="1" spans="2:6">
      <c r="B64"/>
      <c r="C64" s="2" t="s">
        <v>187</v>
      </c>
      <c r="D64" s="2" t="s">
        <v>46</v>
      </c>
      <c r="E64" s="2" t="s">
        <v>17</v>
      </c>
      <c r="F64" s="2" t="s">
        <v>18</v>
      </c>
    </row>
    <row r="65" s="2" customFormat="1" spans="2:6">
      <c r="B65"/>
      <c r="C65" s="2" t="s">
        <v>15</v>
      </c>
      <c r="D65" s="2" t="s">
        <v>16</v>
      </c>
      <c r="E65" s="2" t="s">
        <v>47</v>
      </c>
      <c r="F65" s="2" t="s">
        <v>48</v>
      </c>
    </row>
    <row r="66" s="2" customFormat="1" spans="2:6">
      <c r="B66"/>
      <c r="C66" s="2" t="s">
        <v>105</v>
      </c>
      <c r="D66" s="2" t="s">
        <v>106</v>
      </c>
      <c r="E66" s="2" t="s">
        <v>34</v>
      </c>
      <c r="F66" s="2" t="s">
        <v>35</v>
      </c>
    </row>
    <row r="67" s="2" customFormat="1" spans="2:6">
      <c r="B67"/>
      <c r="C67" s="2" t="s">
        <v>101</v>
      </c>
      <c r="D67" s="2" t="s">
        <v>102</v>
      </c>
      <c r="E67" s="2" t="s">
        <v>109</v>
      </c>
      <c r="F67" s="2" t="s">
        <v>110</v>
      </c>
    </row>
    <row r="68" s="2" customFormat="1" spans="2:4">
      <c r="B68"/>
      <c r="C68" s="2" t="s">
        <v>88</v>
      </c>
      <c r="D68" s="2" t="s">
        <v>89</v>
      </c>
    </row>
    <row r="69" s="2" customFormat="1" spans="2:2">
      <c r="B6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0"/>
  <sheetViews>
    <sheetView tabSelected="1" zoomScale="101" zoomScaleNormal="101" topLeftCell="E38" workbookViewId="0">
      <selection activeCell="P57" sqref="O56:P57"/>
    </sheetView>
  </sheetViews>
  <sheetFormatPr defaultColWidth="9" defaultRowHeight="15"/>
  <cols>
    <col min="1" max="1" width="14.5714285714286" customWidth="1"/>
    <col min="3" max="3" width="18.2857142857143" style="2" customWidth="1"/>
    <col min="4" max="4" width="6.67619047619048" customWidth="1"/>
    <col min="5" max="5" width="18.2857142857143" customWidth="1"/>
    <col min="7" max="8" width="13.5714285714286" style="3" customWidth="1"/>
    <col min="9" max="9" width="7" customWidth="1"/>
    <col min="11" max="11" width="16.5714285714286" customWidth="1"/>
    <col min="12" max="12" width="13" style="4" customWidth="1"/>
    <col min="13" max="13" width="16.5714285714286" customWidth="1"/>
  </cols>
  <sheetData>
    <row r="1" s="1" customFormat="1" spans="1:12">
      <c r="A1" s="1" t="s">
        <v>0</v>
      </c>
      <c r="B1" s="1" t="s">
        <v>1</v>
      </c>
      <c r="C1" s="5" t="s">
        <v>2</v>
      </c>
      <c r="D1" s="1" t="s">
        <v>3</v>
      </c>
      <c r="E1" s="1" t="s">
        <v>5</v>
      </c>
      <c r="F1" s="1" t="s">
        <v>6</v>
      </c>
      <c r="G1" s="6" t="s">
        <v>188</v>
      </c>
      <c r="H1" s="6" t="s">
        <v>189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 s="7" t="s">
        <v>14</v>
      </c>
      <c r="B2" s="7" t="str">
        <f t="shared" ref="B2:B53" si="0">LEFT(A2,2)</f>
        <v>TY</v>
      </c>
      <c r="C2" s="8" t="s">
        <v>16</v>
      </c>
      <c r="D2" s="7" t="str">
        <f t="shared" ref="D2:D53" si="1">MID(A2,5,3)</f>
        <v>COR</v>
      </c>
      <c r="E2" s="7" t="str">
        <f t="shared" ref="E2:E53" si="2">MID(A2,3,2)</f>
        <v>14</v>
      </c>
      <c r="F2" s="7">
        <f>IF(14-E2&lt;0,100-E2+14,14-E2)</f>
        <v>0</v>
      </c>
      <c r="G2" s="9">
        <v>17556.3</v>
      </c>
      <c r="H2" s="9">
        <f t="shared" ref="H2:H53" si="3">G2/(F2+0.5)</f>
        <v>35112.6</v>
      </c>
      <c r="I2" s="7" t="s">
        <v>19</v>
      </c>
      <c r="J2" s="7" t="s">
        <v>20</v>
      </c>
      <c r="K2" s="7">
        <v>100000</v>
      </c>
      <c r="L2" s="7" t="str">
        <f>IF(G2&lt;=K2,"Yes","No")</f>
        <v>Yes</v>
      </c>
    </row>
    <row r="3" spans="1:12">
      <c r="A3" s="7" t="s">
        <v>23</v>
      </c>
      <c r="B3" s="7" t="str">
        <f t="shared" si="0"/>
        <v>GM</v>
      </c>
      <c r="C3" s="8" t="s">
        <v>25</v>
      </c>
      <c r="D3" s="7" t="str">
        <f t="shared" si="1"/>
        <v>CMR</v>
      </c>
      <c r="E3" s="7" t="str">
        <f t="shared" si="2"/>
        <v>14</v>
      </c>
      <c r="F3" s="7">
        <f t="shared" ref="F2:F53" si="4">IF(14-E3&lt;0,100-E3+14,14-E3)</f>
        <v>0</v>
      </c>
      <c r="G3" s="9">
        <v>14289.6</v>
      </c>
      <c r="H3" s="9">
        <f t="shared" si="3"/>
        <v>28579.2</v>
      </c>
      <c r="I3" s="7" t="s">
        <v>28</v>
      </c>
      <c r="J3" s="7" t="s">
        <v>29</v>
      </c>
      <c r="K3" s="7">
        <v>100000</v>
      </c>
      <c r="L3" s="7" t="str">
        <f t="shared" ref="L3:L10" si="5">IF(G3&lt;=K3,"Yes","No")</f>
        <v>Yes</v>
      </c>
    </row>
    <row r="4" spans="1:12">
      <c r="A4" s="7" t="s">
        <v>31</v>
      </c>
      <c r="B4" s="7" t="str">
        <f t="shared" si="0"/>
        <v>FD</v>
      </c>
      <c r="C4" s="8" t="s">
        <v>33</v>
      </c>
      <c r="D4" s="7" t="str">
        <f t="shared" si="1"/>
        <v>FCS</v>
      </c>
      <c r="E4" s="7" t="str">
        <f t="shared" si="2"/>
        <v>13</v>
      </c>
      <c r="F4" s="7">
        <f t="shared" si="4"/>
        <v>1</v>
      </c>
      <c r="G4" s="9">
        <v>27637.1</v>
      </c>
      <c r="H4" s="9">
        <f t="shared" si="3"/>
        <v>18424.7333333333</v>
      </c>
      <c r="I4" s="7" t="s">
        <v>36</v>
      </c>
      <c r="J4" s="7" t="s">
        <v>37</v>
      </c>
      <c r="K4" s="7">
        <v>75000</v>
      </c>
      <c r="L4" s="7" t="str">
        <f t="shared" si="5"/>
        <v>Yes</v>
      </c>
    </row>
    <row r="5" spans="1:12">
      <c r="A5" s="7" t="s">
        <v>39</v>
      </c>
      <c r="B5" s="7" t="str">
        <f t="shared" si="0"/>
        <v>FD</v>
      </c>
      <c r="C5" s="8" t="s">
        <v>33</v>
      </c>
      <c r="D5" s="7" t="str">
        <f t="shared" si="1"/>
        <v>FCS</v>
      </c>
      <c r="E5" s="7" t="str">
        <f t="shared" si="2"/>
        <v>13</v>
      </c>
      <c r="F5" s="7">
        <f t="shared" si="4"/>
        <v>1</v>
      </c>
      <c r="G5" s="9">
        <v>27534.8</v>
      </c>
      <c r="H5" s="9">
        <f t="shared" si="3"/>
        <v>18356.5333333333</v>
      </c>
      <c r="I5" s="7" t="s">
        <v>28</v>
      </c>
      <c r="J5" s="7" t="s">
        <v>20</v>
      </c>
      <c r="K5" s="7">
        <v>75000</v>
      </c>
      <c r="L5" s="7" t="str">
        <f t="shared" si="5"/>
        <v>Yes</v>
      </c>
    </row>
    <row r="6" spans="1:12">
      <c r="A6" s="7" t="s">
        <v>41</v>
      </c>
      <c r="B6" s="7" t="str">
        <f t="shared" si="0"/>
        <v>FD</v>
      </c>
      <c r="C6" s="8" t="s">
        <v>33</v>
      </c>
      <c r="D6" s="7" t="str">
        <f t="shared" si="1"/>
        <v>FCS</v>
      </c>
      <c r="E6" s="7" t="str">
        <f t="shared" si="2"/>
        <v>13</v>
      </c>
      <c r="F6" s="7">
        <f t="shared" si="4"/>
        <v>1</v>
      </c>
      <c r="G6" s="9">
        <v>22521.6</v>
      </c>
      <c r="H6" s="9">
        <f t="shared" si="3"/>
        <v>15014.4</v>
      </c>
      <c r="I6" s="7" t="s">
        <v>36</v>
      </c>
      <c r="J6" s="7" t="s">
        <v>42</v>
      </c>
      <c r="K6" s="7">
        <v>75000</v>
      </c>
      <c r="L6" s="7" t="str">
        <f t="shared" si="5"/>
        <v>Yes</v>
      </c>
    </row>
    <row r="7" spans="1:12">
      <c r="A7" s="7" t="s">
        <v>44</v>
      </c>
      <c r="B7" s="7" t="str">
        <f t="shared" si="0"/>
        <v>HY</v>
      </c>
      <c r="C7" s="8" t="s">
        <v>46</v>
      </c>
      <c r="D7" s="7" t="str">
        <f t="shared" si="1"/>
        <v>ELA</v>
      </c>
      <c r="E7" s="7" t="str">
        <f t="shared" si="2"/>
        <v>13</v>
      </c>
      <c r="F7" s="7">
        <f t="shared" si="4"/>
        <v>1</v>
      </c>
      <c r="G7" s="9">
        <v>22188.5</v>
      </c>
      <c r="H7" s="9">
        <f t="shared" si="3"/>
        <v>14792.3333333333</v>
      </c>
      <c r="I7" s="7" t="s">
        <v>19</v>
      </c>
      <c r="J7" s="7" t="s">
        <v>49</v>
      </c>
      <c r="K7" s="7">
        <v>100000</v>
      </c>
      <c r="L7" s="7" t="str">
        <f t="shared" si="5"/>
        <v>Yes</v>
      </c>
    </row>
    <row r="8" spans="1:12">
      <c r="A8" s="7" t="s">
        <v>51</v>
      </c>
      <c r="B8" s="7" t="str">
        <f t="shared" si="0"/>
        <v>HY</v>
      </c>
      <c r="C8" s="8" t="s">
        <v>46</v>
      </c>
      <c r="D8" s="7" t="str">
        <f t="shared" si="1"/>
        <v>ELA</v>
      </c>
      <c r="E8" s="7" t="str">
        <f t="shared" si="2"/>
        <v>13</v>
      </c>
      <c r="F8" s="7">
        <f t="shared" si="4"/>
        <v>1</v>
      </c>
      <c r="G8" s="9">
        <v>20223.9</v>
      </c>
      <c r="H8" s="9">
        <f t="shared" si="3"/>
        <v>13482.6</v>
      </c>
      <c r="I8" s="7" t="s">
        <v>36</v>
      </c>
      <c r="J8" s="7" t="s">
        <v>20</v>
      </c>
      <c r="K8" s="7">
        <v>100000</v>
      </c>
      <c r="L8" s="7" t="str">
        <f t="shared" si="5"/>
        <v>Yes</v>
      </c>
    </row>
    <row r="9" spans="1:12">
      <c r="A9" s="7" t="s">
        <v>53</v>
      </c>
      <c r="B9" s="7" t="str">
        <f t="shared" si="0"/>
        <v>TY</v>
      </c>
      <c r="C9" s="8" t="s">
        <v>16</v>
      </c>
      <c r="D9" s="7" t="str">
        <f t="shared" si="1"/>
        <v>COR</v>
      </c>
      <c r="E9" s="7" t="str">
        <f t="shared" si="2"/>
        <v>12</v>
      </c>
      <c r="F9" s="7">
        <f t="shared" si="4"/>
        <v>2</v>
      </c>
      <c r="G9" s="9">
        <v>29601.9</v>
      </c>
      <c r="H9" s="9">
        <f t="shared" si="3"/>
        <v>11840.76</v>
      </c>
      <c r="I9" s="7" t="s">
        <v>36</v>
      </c>
      <c r="J9" s="7" t="s">
        <v>54</v>
      </c>
      <c r="K9" s="7">
        <v>100000</v>
      </c>
      <c r="L9" s="7" t="str">
        <f t="shared" si="5"/>
        <v>Yes</v>
      </c>
    </row>
    <row r="10" spans="1:12">
      <c r="A10" s="7" t="s">
        <v>56</v>
      </c>
      <c r="B10" s="7" t="str">
        <f t="shared" si="0"/>
        <v>HO</v>
      </c>
      <c r="C10" s="8" t="s">
        <v>58</v>
      </c>
      <c r="D10" s="7" t="str">
        <f t="shared" si="1"/>
        <v>CIV</v>
      </c>
      <c r="E10" s="7" t="str">
        <f t="shared" si="2"/>
        <v>12</v>
      </c>
      <c r="F10" s="7">
        <f t="shared" si="4"/>
        <v>2</v>
      </c>
      <c r="G10" s="9">
        <v>24513.2</v>
      </c>
      <c r="H10" s="9">
        <f t="shared" si="3"/>
        <v>9805.28</v>
      </c>
      <c r="I10" s="7" t="s">
        <v>36</v>
      </c>
      <c r="J10" s="7" t="s">
        <v>61</v>
      </c>
      <c r="K10" s="7">
        <v>75000</v>
      </c>
      <c r="L10" s="7" t="str">
        <f t="shared" si="5"/>
        <v>Yes</v>
      </c>
    </row>
    <row r="11" spans="1:12">
      <c r="A11" s="7" t="s">
        <v>63</v>
      </c>
      <c r="B11" s="7" t="str">
        <f t="shared" si="0"/>
        <v>HO</v>
      </c>
      <c r="C11" s="8" t="s">
        <v>58</v>
      </c>
      <c r="D11" s="7" t="str">
        <f t="shared" si="1"/>
        <v>CIV</v>
      </c>
      <c r="E11" s="7" t="str">
        <f t="shared" si="2"/>
        <v>13</v>
      </c>
      <c r="F11" s="7">
        <f t="shared" si="4"/>
        <v>1</v>
      </c>
      <c r="G11" s="9">
        <v>13867.6</v>
      </c>
      <c r="H11" s="9">
        <f t="shared" si="3"/>
        <v>9245.06666666667</v>
      </c>
      <c r="I11" s="7" t="s">
        <v>36</v>
      </c>
      <c r="J11" s="7" t="s">
        <v>64</v>
      </c>
      <c r="K11" s="7">
        <v>75000</v>
      </c>
      <c r="L11" s="7" t="str">
        <f t="shared" ref="L11:L53" si="6">IF(G11&lt;=K11,"Yes","No")</f>
        <v>Yes</v>
      </c>
    </row>
    <row r="12" spans="1:12">
      <c r="A12" s="7" t="s">
        <v>66</v>
      </c>
      <c r="B12" s="7" t="str">
        <f t="shared" si="0"/>
        <v>FD</v>
      </c>
      <c r="C12" s="8" t="s">
        <v>33</v>
      </c>
      <c r="D12" s="7" t="str">
        <f t="shared" si="1"/>
        <v>FCS</v>
      </c>
      <c r="E12" s="7" t="str">
        <f t="shared" si="2"/>
        <v>13</v>
      </c>
      <c r="F12" s="7">
        <f t="shared" si="4"/>
        <v>1</v>
      </c>
      <c r="G12" s="9">
        <v>13682.9</v>
      </c>
      <c r="H12" s="9">
        <f t="shared" si="3"/>
        <v>9121.93333333333</v>
      </c>
      <c r="I12" s="7" t="s">
        <v>36</v>
      </c>
      <c r="J12" s="7" t="s">
        <v>67</v>
      </c>
      <c r="K12" s="7">
        <v>75000</v>
      </c>
      <c r="L12" s="7" t="str">
        <f t="shared" si="6"/>
        <v>Yes</v>
      </c>
    </row>
    <row r="13" spans="1:12">
      <c r="A13" s="7" t="s">
        <v>69</v>
      </c>
      <c r="B13" s="7" t="str">
        <f t="shared" si="0"/>
        <v>HY</v>
      </c>
      <c r="C13" s="8" t="s">
        <v>46</v>
      </c>
      <c r="D13" s="7" t="str">
        <f t="shared" si="1"/>
        <v>ELA</v>
      </c>
      <c r="E13" s="7" t="str">
        <f t="shared" si="2"/>
        <v>12</v>
      </c>
      <c r="F13" s="7">
        <f t="shared" si="4"/>
        <v>2</v>
      </c>
      <c r="G13" s="9">
        <v>22282</v>
      </c>
      <c r="H13" s="9">
        <f t="shared" si="3"/>
        <v>8912.8</v>
      </c>
      <c r="I13" s="7" t="s">
        <v>19</v>
      </c>
      <c r="J13" s="7" t="s">
        <v>70</v>
      </c>
      <c r="K13" s="7">
        <v>100000</v>
      </c>
      <c r="L13" s="7" t="str">
        <f t="shared" si="6"/>
        <v>Yes</v>
      </c>
    </row>
    <row r="14" spans="1:12">
      <c r="A14" s="7" t="s">
        <v>72</v>
      </c>
      <c r="B14" s="7" t="str">
        <f t="shared" si="0"/>
        <v>TY</v>
      </c>
      <c r="C14" s="8" t="s">
        <v>16</v>
      </c>
      <c r="D14" s="7" t="str">
        <f t="shared" si="1"/>
        <v>CAM</v>
      </c>
      <c r="E14" s="7" t="str">
        <f t="shared" si="2"/>
        <v>12</v>
      </c>
      <c r="F14" s="7">
        <f t="shared" si="4"/>
        <v>2</v>
      </c>
      <c r="G14" s="9">
        <v>22128.2</v>
      </c>
      <c r="H14" s="9">
        <f t="shared" si="3"/>
        <v>8851.28</v>
      </c>
      <c r="I14" s="7" t="s">
        <v>19</v>
      </c>
      <c r="J14" s="7" t="s">
        <v>64</v>
      </c>
      <c r="K14" s="7">
        <v>100000</v>
      </c>
      <c r="L14" s="7" t="str">
        <f t="shared" si="6"/>
        <v>Yes</v>
      </c>
    </row>
    <row r="15" spans="1:12">
      <c r="A15" s="7" t="s">
        <v>76</v>
      </c>
      <c r="B15" s="7" t="str">
        <f t="shared" si="0"/>
        <v>TY</v>
      </c>
      <c r="C15" s="8" t="s">
        <v>16</v>
      </c>
      <c r="D15" s="7" t="str">
        <f t="shared" si="1"/>
        <v>CAM</v>
      </c>
      <c r="E15" s="7" t="str">
        <f t="shared" si="2"/>
        <v>09</v>
      </c>
      <c r="F15" s="7">
        <f t="shared" si="4"/>
        <v>5</v>
      </c>
      <c r="G15" s="9">
        <v>48114.2</v>
      </c>
      <c r="H15" s="9">
        <f t="shared" si="3"/>
        <v>8748.03636363636</v>
      </c>
      <c r="I15" s="7" t="s">
        <v>28</v>
      </c>
      <c r="J15" s="7" t="s">
        <v>78</v>
      </c>
      <c r="K15" s="7">
        <v>100000</v>
      </c>
      <c r="L15" s="7" t="str">
        <f t="shared" si="6"/>
        <v>Yes</v>
      </c>
    </row>
    <row r="16" spans="1:12">
      <c r="A16" s="7" t="s">
        <v>80</v>
      </c>
      <c r="B16" s="7" t="str">
        <f t="shared" si="0"/>
        <v>HO</v>
      </c>
      <c r="C16" s="8" t="s">
        <v>58</v>
      </c>
      <c r="D16" s="7" t="str">
        <f t="shared" si="1"/>
        <v>CIV</v>
      </c>
      <c r="E16" s="7" t="str">
        <f t="shared" si="2"/>
        <v>11</v>
      </c>
      <c r="F16" s="7">
        <f t="shared" si="4"/>
        <v>3</v>
      </c>
      <c r="G16" s="9">
        <v>30555.3</v>
      </c>
      <c r="H16" s="9">
        <f t="shared" si="3"/>
        <v>8730.08571428571</v>
      </c>
      <c r="I16" s="7" t="s">
        <v>36</v>
      </c>
      <c r="J16" s="7" t="s">
        <v>81</v>
      </c>
      <c r="K16" s="7">
        <v>75000</v>
      </c>
      <c r="L16" s="7" t="str">
        <f t="shared" si="6"/>
        <v>Yes</v>
      </c>
    </row>
    <row r="17" spans="1:12">
      <c r="A17" s="7" t="s">
        <v>83</v>
      </c>
      <c r="B17" s="7" t="str">
        <f t="shared" si="0"/>
        <v>HY</v>
      </c>
      <c r="C17" s="8" t="s">
        <v>46</v>
      </c>
      <c r="D17" s="7" t="str">
        <f t="shared" si="1"/>
        <v>ELA</v>
      </c>
      <c r="E17" s="7" t="str">
        <f t="shared" si="2"/>
        <v>11</v>
      </c>
      <c r="F17" s="7">
        <f t="shared" si="4"/>
        <v>3</v>
      </c>
      <c r="G17" s="9">
        <v>29102.3</v>
      </c>
      <c r="H17" s="9">
        <f t="shared" si="3"/>
        <v>8314.94285714286</v>
      </c>
      <c r="I17" s="7" t="s">
        <v>36</v>
      </c>
      <c r="J17" s="7" t="s">
        <v>29</v>
      </c>
      <c r="K17" s="7">
        <v>100000</v>
      </c>
      <c r="L17" s="7" t="str">
        <f t="shared" si="6"/>
        <v>Yes</v>
      </c>
    </row>
    <row r="18" spans="1:12">
      <c r="A18" s="7" t="s">
        <v>85</v>
      </c>
      <c r="B18" s="7" t="str">
        <f t="shared" si="0"/>
        <v>CR</v>
      </c>
      <c r="C18" s="8" t="s">
        <v>87</v>
      </c>
      <c r="D18" s="7" t="str">
        <f t="shared" si="1"/>
        <v>PTC</v>
      </c>
      <c r="E18" s="7" t="str">
        <f t="shared" si="2"/>
        <v>11</v>
      </c>
      <c r="F18" s="7">
        <f t="shared" si="4"/>
        <v>3</v>
      </c>
      <c r="G18" s="9">
        <v>27394.2</v>
      </c>
      <c r="H18" s="9">
        <f t="shared" si="3"/>
        <v>7826.91428571429</v>
      </c>
      <c r="I18" s="7" t="s">
        <v>36</v>
      </c>
      <c r="J18" s="7" t="s">
        <v>42</v>
      </c>
      <c r="K18" s="7">
        <v>75000</v>
      </c>
      <c r="L18" s="7" t="str">
        <f t="shared" si="6"/>
        <v>Yes</v>
      </c>
    </row>
    <row r="19" spans="1:12">
      <c r="A19" s="7" t="s">
        <v>91</v>
      </c>
      <c r="B19" s="7" t="str">
        <f t="shared" si="0"/>
        <v>GM</v>
      </c>
      <c r="C19" s="8" t="s">
        <v>25</v>
      </c>
      <c r="D19" s="7" t="str">
        <f t="shared" si="1"/>
        <v>CMR</v>
      </c>
      <c r="E19" s="7" t="str">
        <f t="shared" si="2"/>
        <v>12</v>
      </c>
      <c r="F19" s="7">
        <f t="shared" si="4"/>
        <v>2</v>
      </c>
      <c r="G19" s="9">
        <v>19421.1</v>
      </c>
      <c r="H19" s="9">
        <f t="shared" si="3"/>
        <v>7768.44</v>
      </c>
      <c r="I19" s="7" t="s">
        <v>36</v>
      </c>
      <c r="J19" s="7" t="s">
        <v>92</v>
      </c>
      <c r="K19" s="7">
        <v>100000</v>
      </c>
      <c r="L19" s="7" t="str">
        <f t="shared" si="6"/>
        <v>Yes</v>
      </c>
    </row>
    <row r="20" spans="1:12">
      <c r="A20" s="7" t="s">
        <v>94</v>
      </c>
      <c r="B20" s="7" t="str">
        <f t="shared" si="0"/>
        <v>FD</v>
      </c>
      <c r="C20" s="8" t="s">
        <v>33</v>
      </c>
      <c r="D20" s="7" t="str">
        <f t="shared" si="1"/>
        <v>FCS</v>
      </c>
      <c r="E20" s="7" t="str">
        <f t="shared" si="2"/>
        <v>12</v>
      </c>
      <c r="F20" s="7">
        <f t="shared" si="4"/>
        <v>2</v>
      </c>
      <c r="G20" s="9">
        <v>19341.7</v>
      </c>
      <c r="H20" s="9">
        <f t="shared" si="3"/>
        <v>7736.68</v>
      </c>
      <c r="I20" s="7" t="s">
        <v>28</v>
      </c>
      <c r="J20" s="7" t="s">
        <v>95</v>
      </c>
      <c r="K20" s="7">
        <v>75000</v>
      </c>
      <c r="L20" s="7" t="str">
        <f t="shared" si="6"/>
        <v>Yes</v>
      </c>
    </row>
    <row r="21" spans="1:12">
      <c r="A21" s="7" t="s">
        <v>97</v>
      </c>
      <c r="B21" s="7" t="str">
        <f t="shared" si="0"/>
        <v>HO</v>
      </c>
      <c r="C21" s="8" t="s">
        <v>58</v>
      </c>
      <c r="D21" s="7" t="str">
        <f t="shared" si="1"/>
        <v>CIV</v>
      </c>
      <c r="E21" s="7" t="str">
        <f t="shared" si="2"/>
        <v>10</v>
      </c>
      <c r="F21" s="7">
        <f t="shared" si="4"/>
        <v>4</v>
      </c>
      <c r="G21" s="9">
        <v>33477.2</v>
      </c>
      <c r="H21" s="9">
        <f t="shared" si="3"/>
        <v>7439.37777777778</v>
      </c>
      <c r="I21" s="7" t="s">
        <v>36</v>
      </c>
      <c r="J21" s="7" t="s">
        <v>98</v>
      </c>
      <c r="K21" s="7">
        <v>75000</v>
      </c>
      <c r="L21" s="7" t="str">
        <f t="shared" si="6"/>
        <v>Yes</v>
      </c>
    </row>
    <row r="22" spans="1:12">
      <c r="A22" s="7" t="s">
        <v>100</v>
      </c>
      <c r="B22" s="7" t="str">
        <f t="shared" si="0"/>
        <v>HO</v>
      </c>
      <c r="C22" s="8" t="s">
        <v>58</v>
      </c>
      <c r="D22" s="7" t="str">
        <f t="shared" si="1"/>
        <v>ODY</v>
      </c>
      <c r="E22" s="7" t="str">
        <f t="shared" si="2"/>
        <v>14</v>
      </c>
      <c r="F22" s="7">
        <f t="shared" si="4"/>
        <v>0</v>
      </c>
      <c r="G22" s="9">
        <v>3708.1</v>
      </c>
      <c r="H22" s="9">
        <f t="shared" si="3"/>
        <v>7416.2</v>
      </c>
      <c r="I22" s="7" t="s">
        <v>36</v>
      </c>
      <c r="J22" s="7" t="s">
        <v>70</v>
      </c>
      <c r="K22" s="7">
        <v>100000</v>
      </c>
      <c r="L22" s="7" t="str">
        <f t="shared" si="6"/>
        <v>Yes</v>
      </c>
    </row>
    <row r="23" spans="1:12">
      <c r="A23" s="7" t="s">
        <v>104</v>
      </c>
      <c r="B23" s="7" t="str">
        <f t="shared" si="0"/>
        <v>GM</v>
      </c>
      <c r="C23" s="8" t="s">
        <v>25</v>
      </c>
      <c r="D23" s="7" t="str">
        <f t="shared" si="1"/>
        <v>SLV</v>
      </c>
      <c r="E23" s="7" t="str">
        <f t="shared" si="2"/>
        <v>10</v>
      </c>
      <c r="F23" s="7">
        <f t="shared" si="4"/>
        <v>4</v>
      </c>
      <c r="G23" s="9">
        <v>31144.4</v>
      </c>
      <c r="H23" s="9">
        <f t="shared" si="3"/>
        <v>6920.97777777778</v>
      </c>
      <c r="I23" s="7" t="s">
        <v>36</v>
      </c>
      <c r="J23" s="7" t="s">
        <v>61</v>
      </c>
      <c r="K23" s="7">
        <v>100000</v>
      </c>
      <c r="L23" s="7" t="str">
        <f t="shared" si="6"/>
        <v>Yes</v>
      </c>
    </row>
    <row r="24" spans="1:12">
      <c r="A24" s="7" t="s">
        <v>108</v>
      </c>
      <c r="B24" s="7" t="str">
        <f t="shared" si="0"/>
        <v>FD</v>
      </c>
      <c r="C24" s="8" t="s">
        <v>33</v>
      </c>
      <c r="D24" s="7" t="str">
        <f t="shared" si="1"/>
        <v>MTG</v>
      </c>
      <c r="E24" s="7" t="str">
        <f t="shared" si="2"/>
        <v>08</v>
      </c>
      <c r="F24" s="7">
        <f t="shared" si="4"/>
        <v>6</v>
      </c>
      <c r="G24" s="9">
        <v>44946.5</v>
      </c>
      <c r="H24" s="9">
        <f t="shared" si="3"/>
        <v>6914.84615384615</v>
      </c>
      <c r="I24" s="7" t="s">
        <v>112</v>
      </c>
      <c r="J24" s="7" t="s">
        <v>81</v>
      </c>
      <c r="K24" s="7">
        <v>50000</v>
      </c>
      <c r="L24" s="7" t="str">
        <f t="shared" si="6"/>
        <v>Yes</v>
      </c>
    </row>
    <row r="25" spans="1:12">
      <c r="A25" s="7" t="s">
        <v>114</v>
      </c>
      <c r="B25" s="7" t="str">
        <f t="shared" si="0"/>
        <v>CR</v>
      </c>
      <c r="C25" s="8" t="s">
        <v>87</v>
      </c>
      <c r="D25" s="7" t="str">
        <f t="shared" si="1"/>
        <v>CAR</v>
      </c>
      <c r="E25" s="7" t="str">
        <f t="shared" si="2"/>
        <v>04</v>
      </c>
      <c r="F25" s="7">
        <f t="shared" si="4"/>
        <v>10</v>
      </c>
      <c r="G25" s="9">
        <v>72527.2</v>
      </c>
      <c r="H25" s="9">
        <f t="shared" si="3"/>
        <v>6907.35238095238</v>
      </c>
      <c r="I25" s="7" t="s">
        <v>28</v>
      </c>
      <c r="J25" s="7" t="s">
        <v>92</v>
      </c>
      <c r="K25" s="7">
        <v>75000</v>
      </c>
      <c r="L25" s="7" t="str">
        <f t="shared" si="6"/>
        <v>Yes</v>
      </c>
    </row>
    <row r="26" spans="1:12">
      <c r="A26" s="7" t="s">
        <v>119</v>
      </c>
      <c r="B26" s="7" t="str">
        <f t="shared" si="0"/>
        <v>HO</v>
      </c>
      <c r="C26" s="8" t="s">
        <v>58</v>
      </c>
      <c r="D26" s="7" t="str">
        <f t="shared" si="1"/>
        <v>ODY</v>
      </c>
      <c r="E26" s="7" t="str">
        <f t="shared" si="2"/>
        <v>07</v>
      </c>
      <c r="F26" s="7">
        <f t="shared" si="4"/>
        <v>7</v>
      </c>
      <c r="G26" s="9">
        <v>50854.1</v>
      </c>
      <c r="H26" s="9">
        <f t="shared" si="3"/>
        <v>6780.54666666667</v>
      </c>
      <c r="I26" s="7" t="s">
        <v>36</v>
      </c>
      <c r="J26" s="7" t="s">
        <v>98</v>
      </c>
      <c r="K26" s="7">
        <v>100000</v>
      </c>
      <c r="L26" s="7" t="str">
        <f t="shared" si="6"/>
        <v>Yes</v>
      </c>
    </row>
    <row r="27" spans="1:12">
      <c r="A27" s="7" t="s">
        <v>122</v>
      </c>
      <c r="B27" s="7" t="str">
        <f t="shared" si="0"/>
        <v>HO</v>
      </c>
      <c r="C27" s="8" t="s">
        <v>58</v>
      </c>
      <c r="D27" s="7" t="str">
        <f t="shared" si="1"/>
        <v>ODY</v>
      </c>
      <c r="E27" s="7" t="str">
        <f t="shared" si="2"/>
        <v>08</v>
      </c>
      <c r="F27" s="7">
        <f t="shared" si="4"/>
        <v>6</v>
      </c>
      <c r="G27" s="9">
        <v>42504.6</v>
      </c>
      <c r="H27" s="9">
        <f t="shared" si="3"/>
        <v>6539.16923076923</v>
      </c>
      <c r="I27" s="7" t="s">
        <v>28</v>
      </c>
      <c r="J27" s="7" t="s">
        <v>67</v>
      </c>
      <c r="K27" s="7">
        <v>100000</v>
      </c>
      <c r="L27" s="7" t="str">
        <f t="shared" si="6"/>
        <v>Yes</v>
      </c>
    </row>
    <row r="28" spans="1:12">
      <c r="A28" s="7" t="s">
        <v>124</v>
      </c>
      <c r="B28" s="7" t="str">
        <f t="shared" si="0"/>
        <v>FD</v>
      </c>
      <c r="C28" s="8" t="s">
        <v>33</v>
      </c>
      <c r="D28" s="7" t="str">
        <f t="shared" si="1"/>
        <v>FCS</v>
      </c>
      <c r="E28" s="7" t="str">
        <f t="shared" si="2"/>
        <v>09</v>
      </c>
      <c r="F28" s="7">
        <f t="shared" si="4"/>
        <v>5</v>
      </c>
      <c r="G28" s="9">
        <v>35137</v>
      </c>
      <c r="H28" s="9">
        <f t="shared" si="3"/>
        <v>6388.54545454545</v>
      </c>
      <c r="I28" s="7" t="s">
        <v>36</v>
      </c>
      <c r="J28" s="7" t="s">
        <v>78</v>
      </c>
      <c r="K28" s="7">
        <v>75000</v>
      </c>
      <c r="L28" s="7" t="str">
        <f t="shared" si="6"/>
        <v>Yes</v>
      </c>
    </row>
    <row r="29" spans="1:12">
      <c r="A29" s="7" t="s">
        <v>126</v>
      </c>
      <c r="B29" s="7" t="str">
        <f t="shared" si="0"/>
        <v>TY</v>
      </c>
      <c r="C29" s="8" t="s">
        <v>16</v>
      </c>
      <c r="D29" s="7" t="str">
        <f t="shared" si="1"/>
        <v>COR</v>
      </c>
      <c r="E29" s="7" t="str">
        <f t="shared" si="2"/>
        <v>03</v>
      </c>
      <c r="F29" s="7">
        <f t="shared" si="4"/>
        <v>11</v>
      </c>
      <c r="G29" s="9">
        <v>73444.4</v>
      </c>
      <c r="H29" s="9">
        <f t="shared" si="3"/>
        <v>6386.46956521739</v>
      </c>
      <c r="I29" s="7" t="s">
        <v>36</v>
      </c>
      <c r="J29" s="7" t="s">
        <v>128</v>
      </c>
      <c r="K29" s="7">
        <v>100000</v>
      </c>
      <c r="L29" s="7" t="str">
        <f t="shared" si="6"/>
        <v>Yes</v>
      </c>
    </row>
    <row r="30" spans="1:12">
      <c r="A30" s="7" t="s">
        <v>130</v>
      </c>
      <c r="B30" s="7" t="str">
        <f t="shared" si="0"/>
        <v>HO</v>
      </c>
      <c r="C30" s="8" t="s">
        <v>58</v>
      </c>
      <c r="D30" s="7" t="str">
        <f t="shared" si="1"/>
        <v>ODY</v>
      </c>
      <c r="E30" s="7" t="str">
        <f t="shared" si="2"/>
        <v>05</v>
      </c>
      <c r="F30" s="7">
        <f t="shared" si="4"/>
        <v>9</v>
      </c>
      <c r="G30" s="9">
        <v>60389.5</v>
      </c>
      <c r="H30" s="9">
        <f t="shared" si="3"/>
        <v>6356.78947368421</v>
      </c>
      <c r="I30" s="7" t="s">
        <v>28</v>
      </c>
      <c r="J30" s="7" t="s">
        <v>78</v>
      </c>
      <c r="K30" s="7">
        <v>100000</v>
      </c>
      <c r="L30" s="7" t="str">
        <f t="shared" si="6"/>
        <v>Yes</v>
      </c>
    </row>
    <row r="31" spans="1:12">
      <c r="A31" s="7" t="s">
        <v>133</v>
      </c>
      <c r="B31" s="7" t="str">
        <f t="shared" si="0"/>
        <v>TY</v>
      </c>
      <c r="C31" s="8" t="s">
        <v>16</v>
      </c>
      <c r="D31" s="7" t="str">
        <f t="shared" si="1"/>
        <v>CAM</v>
      </c>
      <c r="E31" s="7" t="str">
        <f t="shared" si="2"/>
        <v>96</v>
      </c>
      <c r="F31" s="7">
        <f t="shared" si="4"/>
        <v>18</v>
      </c>
      <c r="G31" s="9">
        <v>114660.6</v>
      </c>
      <c r="H31" s="9">
        <f t="shared" si="3"/>
        <v>6197.87027027027</v>
      </c>
      <c r="I31" s="7" t="s">
        <v>112</v>
      </c>
      <c r="J31" s="7" t="s">
        <v>64</v>
      </c>
      <c r="K31" s="7">
        <v>100000</v>
      </c>
      <c r="L31" s="7" t="str">
        <f t="shared" si="6"/>
        <v>No</v>
      </c>
    </row>
    <row r="32" spans="1:12">
      <c r="A32" s="7" t="s">
        <v>136</v>
      </c>
      <c r="B32" s="7" t="str">
        <f t="shared" si="0"/>
        <v>CR</v>
      </c>
      <c r="C32" s="8" t="s">
        <v>87</v>
      </c>
      <c r="D32" s="7" t="str">
        <f t="shared" si="1"/>
        <v>PTC</v>
      </c>
      <c r="E32" s="7" t="str">
        <f t="shared" si="2"/>
        <v>04</v>
      </c>
      <c r="F32" s="7">
        <f t="shared" si="4"/>
        <v>10</v>
      </c>
      <c r="G32" s="9">
        <v>64542</v>
      </c>
      <c r="H32" s="9">
        <f t="shared" si="3"/>
        <v>6146.85714285714</v>
      </c>
      <c r="I32" s="7" t="s">
        <v>19</v>
      </c>
      <c r="J32" s="7" t="s">
        <v>37</v>
      </c>
      <c r="K32" s="7">
        <v>75000</v>
      </c>
      <c r="L32" s="7" t="str">
        <f t="shared" si="6"/>
        <v>Yes</v>
      </c>
    </row>
    <row r="33" spans="1:12">
      <c r="A33" s="7" t="s">
        <v>138</v>
      </c>
      <c r="B33" s="7" t="str">
        <f t="shared" si="0"/>
        <v>FD</v>
      </c>
      <c r="C33" s="8" t="s">
        <v>33</v>
      </c>
      <c r="D33" s="7" t="str">
        <f t="shared" si="1"/>
        <v>FCS</v>
      </c>
      <c r="E33" s="7" t="str">
        <f t="shared" si="2"/>
        <v>06</v>
      </c>
      <c r="F33" s="7">
        <f t="shared" si="4"/>
        <v>8</v>
      </c>
      <c r="G33" s="9">
        <v>52229.5</v>
      </c>
      <c r="H33" s="9">
        <f t="shared" si="3"/>
        <v>6144.64705882353</v>
      </c>
      <c r="I33" s="7" t="s">
        <v>112</v>
      </c>
      <c r="J33" s="7" t="s">
        <v>81</v>
      </c>
      <c r="K33" s="7">
        <v>75000</v>
      </c>
      <c r="L33" s="7" t="str">
        <f t="shared" si="6"/>
        <v>Yes</v>
      </c>
    </row>
    <row r="34" spans="1:12">
      <c r="A34" s="7" t="s">
        <v>141</v>
      </c>
      <c r="B34" s="7" t="str">
        <f t="shared" si="0"/>
        <v>TY</v>
      </c>
      <c r="C34" s="8" t="s">
        <v>16</v>
      </c>
      <c r="D34" s="7" t="str">
        <f t="shared" si="1"/>
        <v>CAM</v>
      </c>
      <c r="E34" s="7" t="str">
        <f t="shared" si="2"/>
        <v>00</v>
      </c>
      <c r="F34" s="7">
        <f t="shared" si="4"/>
        <v>14</v>
      </c>
      <c r="G34" s="9">
        <v>85928</v>
      </c>
      <c r="H34" s="9">
        <f t="shared" si="3"/>
        <v>5926.06896551724</v>
      </c>
      <c r="I34" s="7" t="s">
        <v>112</v>
      </c>
      <c r="J34" s="7" t="s">
        <v>49</v>
      </c>
      <c r="K34" s="7">
        <v>100000</v>
      </c>
      <c r="L34" s="7" t="str">
        <f t="shared" si="6"/>
        <v>Yes</v>
      </c>
    </row>
    <row r="35" spans="1:12">
      <c r="A35" s="7" t="s">
        <v>144</v>
      </c>
      <c r="B35" s="7" t="str">
        <f t="shared" si="0"/>
        <v>FD</v>
      </c>
      <c r="C35" s="8" t="s">
        <v>33</v>
      </c>
      <c r="D35" s="7" t="str">
        <f t="shared" si="1"/>
        <v>MTG</v>
      </c>
      <c r="E35" s="7" t="str">
        <f t="shared" si="2"/>
        <v>08</v>
      </c>
      <c r="F35" s="7">
        <f t="shared" si="4"/>
        <v>6</v>
      </c>
      <c r="G35" s="9">
        <v>37558.8</v>
      </c>
      <c r="H35" s="9">
        <f t="shared" si="3"/>
        <v>5778.27692307692</v>
      </c>
      <c r="I35" s="7" t="s">
        <v>36</v>
      </c>
      <c r="J35" s="7" t="s">
        <v>145</v>
      </c>
      <c r="K35" s="7">
        <v>50000</v>
      </c>
      <c r="L35" s="7" t="str">
        <f t="shared" si="6"/>
        <v>Yes</v>
      </c>
    </row>
    <row r="36" spans="1:12">
      <c r="A36" s="7" t="s">
        <v>147</v>
      </c>
      <c r="B36" s="7" t="str">
        <f t="shared" si="0"/>
        <v>TY</v>
      </c>
      <c r="C36" s="8" t="s">
        <v>16</v>
      </c>
      <c r="D36" s="7" t="str">
        <f t="shared" si="1"/>
        <v>CAM</v>
      </c>
      <c r="E36" s="7" t="str">
        <f t="shared" si="2"/>
        <v>98</v>
      </c>
      <c r="F36" s="7">
        <f t="shared" si="4"/>
        <v>16</v>
      </c>
      <c r="G36" s="9">
        <v>93382.6</v>
      </c>
      <c r="H36" s="9">
        <f t="shared" si="3"/>
        <v>5659.55151515152</v>
      </c>
      <c r="I36" s="7" t="s">
        <v>36</v>
      </c>
      <c r="J36" s="7" t="s">
        <v>98</v>
      </c>
      <c r="K36" s="7">
        <v>100000</v>
      </c>
      <c r="L36" s="7" t="str">
        <f t="shared" si="6"/>
        <v>Yes</v>
      </c>
    </row>
    <row r="37" spans="1:12">
      <c r="A37" s="7" t="s">
        <v>149</v>
      </c>
      <c r="B37" s="7" t="str">
        <f t="shared" si="0"/>
        <v>CR</v>
      </c>
      <c r="C37" s="8" t="s">
        <v>87</v>
      </c>
      <c r="D37" s="7" t="str">
        <f t="shared" si="1"/>
        <v>PTC</v>
      </c>
      <c r="E37" s="7" t="str">
        <f t="shared" si="2"/>
        <v>07</v>
      </c>
      <c r="F37" s="7">
        <f t="shared" si="4"/>
        <v>7</v>
      </c>
      <c r="G37" s="9">
        <v>42074.2</v>
      </c>
      <c r="H37" s="9">
        <f t="shared" si="3"/>
        <v>5609.89333333333</v>
      </c>
      <c r="I37" s="7" t="s">
        <v>112</v>
      </c>
      <c r="J37" s="7" t="s">
        <v>128</v>
      </c>
      <c r="K37" s="7">
        <v>75000</v>
      </c>
      <c r="L37" s="7" t="str">
        <f t="shared" si="6"/>
        <v>Yes</v>
      </c>
    </row>
    <row r="38" spans="1:12">
      <c r="A38" s="7" t="s">
        <v>151</v>
      </c>
      <c r="B38" s="7" t="str">
        <f t="shared" si="0"/>
        <v>FD</v>
      </c>
      <c r="C38" s="8" t="s">
        <v>33</v>
      </c>
      <c r="D38" s="7" t="str">
        <f t="shared" si="1"/>
        <v>MTG</v>
      </c>
      <c r="E38" s="7" t="str">
        <f t="shared" si="2"/>
        <v>08</v>
      </c>
      <c r="F38" s="7">
        <f t="shared" si="4"/>
        <v>6</v>
      </c>
      <c r="G38" s="9">
        <v>36438.5</v>
      </c>
      <c r="H38" s="9">
        <f t="shared" si="3"/>
        <v>5605.92307692308</v>
      </c>
      <c r="I38" s="7" t="s">
        <v>28</v>
      </c>
      <c r="J38" s="7" t="s">
        <v>37</v>
      </c>
      <c r="K38" s="7">
        <v>50000</v>
      </c>
      <c r="L38" s="7" t="str">
        <f t="shared" si="6"/>
        <v>Yes</v>
      </c>
    </row>
    <row r="39" spans="1:12">
      <c r="A39" s="7" t="s">
        <v>153</v>
      </c>
      <c r="B39" s="7" t="str">
        <f t="shared" si="0"/>
        <v>GM</v>
      </c>
      <c r="C39" s="8" t="s">
        <v>25</v>
      </c>
      <c r="D39" s="7" t="str">
        <f t="shared" si="1"/>
        <v>SLV</v>
      </c>
      <c r="E39" s="7" t="str">
        <f t="shared" si="2"/>
        <v>00</v>
      </c>
      <c r="F39" s="7">
        <f t="shared" si="4"/>
        <v>14</v>
      </c>
      <c r="G39" s="9">
        <v>80685.8</v>
      </c>
      <c r="H39" s="9">
        <f t="shared" si="3"/>
        <v>5564.53793103448</v>
      </c>
      <c r="I39" s="7" t="s">
        <v>19</v>
      </c>
      <c r="J39" s="7" t="s">
        <v>42</v>
      </c>
      <c r="K39" s="7">
        <v>100000</v>
      </c>
      <c r="L39" s="7" t="str">
        <f t="shared" si="6"/>
        <v>Yes</v>
      </c>
    </row>
    <row r="40" spans="1:12">
      <c r="A40" s="7" t="s">
        <v>155</v>
      </c>
      <c r="B40" s="7" t="str">
        <f t="shared" si="0"/>
        <v>FD</v>
      </c>
      <c r="C40" s="8" t="s">
        <v>33</v>
      </c>
      <c r="D40" s="7" t="str">
        <f t="shared" si="1"/>
        <v>FCS</v>
      </c>
      <c r="E40" s="7" t="str">
        <f t="shared" si="2"/>
        <v>06</v>
      </c>
      <c r="F40" s="7">
        <f t="shared" si="4"/>
        <v>8</v>
      </c>
      <c r="G40" s="9">
        <v>46311.4</v>
      </c>
      <c r="H40" s="9">
        <f t="shared" si="3"/>
        <v>5448.4</v>
      </c>
      <c r="I40" s="7" t="s">
        <v>112</v>
      </c>
      <c r="J40" s="7" t="s">
        <v>49</v>
      </c>
      <c r="K40" s="7">
        <v>75000</v>
      </c>
      <c r="L40" s="7" t="str">
        <f t="shared" si="6"/>
        <v>Yes</v>
      </c>
    </row>
    <row r="41" spans="1:12">
      <c r="A41" s="7" t="s">
        <v>157</v>
      </c>
      <c r="B41" s="7" t="str">
        <f t="shared" si="0"/>
        <v>TY</v>
      </c>
      <c r="C41" s="8" t="s">
        <v>16</v>
      </c>
      <c r="D41" s="7" t="str">
        <f t="shared" si="1"/>
        <v>CAM</v>
      </c>
      <c r="E41" s="7" t="str">
        <f t="shared" si="2"/>
        <v>02</v>
      </c>
      <c r="F41" s="7">
        <f t="shared" si="4"/>
        <v>12</v>
      </c>
      <c r="G41" s="9">
        <v>67829.1</v>
      </c>
      <c r="H41" s="9">
        <f t="shared" si="3"/>
        <v>5426.328</v>
      </c>
      <c r="I41" s="7" t="s">
        <v>36</v>
      </c>
      <c r="J41" s="7" t="s">
        <v>37</v>
      </c>
      <c r="K41" s="7">
        <v>100000</v>
      </c>
      <c r="L41" s="7" t="str">
        <f t="shared" si="6"/>
        <v>Yes</v>
      </c>
    </row>
    <row r="42" spans="1:12">
      <c r="A42" s="7" t="s">
        <v>160</v>
      </c>
      <c r="B42" s="7" t="str">
        <f t="shared" si="0"/>
        <v>CR</v>
      </c>
      <c r="C42" s="8" t="s">
        <v>87</v>
      </c>
      <c r="D42" s="7" t="str">
        <f t="shared" si="1"/>
        <v>CAR</v>
      </c>
      <c r="E42" s="7" t="str">
        <f t="shared" si="2"/>
        <v>00</v>
      </c>
      <c r="F42" s="7">
        <f t="shared" si="4"/>
        <v>14</v>
      </c>
      <c r="G42" s="9">
        <v>77243.1</v>
      </c>
      <c r="H42" s="9">
        <f t="shared" si="3"/>
        <v>5327.11034482759</v>
      </c>
      <c r="I42" s="7" t="s">
        <v>36</v>
      </c>
      <c r="J42" s="7" t="s">
        <v>145</v>
      </c>
      <c r="K42" s="7">
        <v>75000</v>
      </c>
      <c r="L42" s="7" t="str">
        <f t="shared" si="6"/>
        <v>No</v>
      </c>
    </row>
    <row r="43" spans="1:12">
      <c r="A43" s="7" t="s">
        <v>162</v>
      </c>
      <c r="B43" s="7" t="str">
        <f t="shared" si="0"/>
        <v>HO</v>
      </c>
      <c r="C43" s="8" t="s">
        <v>58</v>
      </c>
      <c r="D43" s="7" t="str">
        <f t="shared" si="1"/>
        <v>CIV</v>
      </c>
      <c r="E43" s="7" t="str">
        <f t="shared" si="2"/>
        <v>99</v>
      </c>
      <c r="F43" s="7">
        <f t="shared" si="4"/>
        <v>15</v>
      </c>
      <c r="G43" s="9">
        <v>82374</v>
      </c>
      <c r="H43" s="9">
        <f t="shared" si="3"/>
        <v>5314.45161290323</v>
      </c>
      <c r="I43" s="7" t="s">
        <v>28</v>
      </c>
      <c r="J43" s="7" t="s">
        <v>67</v>
      </c>
      <c r="K43" s="7">
        <v>75000</v>
      </c>
      <c r="L43" s="7" t="str">
        <f t="shared" si="6"/>
        <v>No</v>
      </c>
    </row>
    <row r="44" spans="1:12">
      <c r="A44" s="7" t="s">
        <v>164</v>
      </c>
      <c r="B44" s="7" t="str">
        <f t="shared" si="0"/>
        <v>FD</v>
      </c>
      <c r="C44" s="8" t="s">
        <v>33</v>
      </c>
      <c r="D44" s="7" t="str">
        <f t="shared" si="1"/>
        <v>MTG</v>
      </c>
      <c r="E44" s="7" t="str">
        <f t="shared" si="2"/>
        <v>06</v>
      </c>
      <c r="F44" s="7">
        <f t="shared" si="4"/>
        <v>8</v>
      </c>
      <c r="G44" s="9">
        <v>44974.8</v>
      </c>
      <c r="H44" s="9">
        <f t="shared" si="3"/>
        <v>5291.15294117647</v>
      </c>
      <c r="I44" s="7" t="s">
        <v>28</v>
      </c>
      <c r="J44" s="7" t="s">
        <v>70</v>
      </c>
      <c r="K44" s="7">
        <v>50000</v>
      </c>
      <c r="L44" s="7" t="str">
        <f t="shared" si="6"/>
        <v>Yes</v>
      </c>
    </row>
    <row r="45" spans="1:12">
      <c r="A45" s="7" t="s">
        <v>166</v>
      </c>
      <c r="B45" s="7" t="str">
        <f t="shared" si="0"/>
        <v>HO</v>
      </c>
      <c r="C45" s="8" t="s">
        <v>58</v>
      </c>
      <c r="D45" s="7" t="str">
        <f t="shared" si="1"/>
        <v>CIV</v>
      </c>
      <c r="E45" s="7" t="str">
        <f t="shared" si="2"/>
        <v>01</v>
      </c>
      <c r="F45" s="7">
        <f t="shared" si="4"/>
        <v>13</v>
      </c>
      <c r="G45" s="9">
        <v>69891.9</v>
      </c>
      <c r="H45" s="9">
        <f t="shared" si="3"/>
        <v>5177.17777777778</v>
      </c>
      <c r="I45" s="7" t="s">
        <v>19</v>
      </c>
      <c r="J45" s="7" t="s">
        <v>145</v>
      </c>
      <c r="K45" s="7">
        <v>75000</v>
      </c>
      <c r="L45" s="7" t="str">
        <f t="shared" si="6"/>
        <v>Yes</v>
      </c>
    </row>
    <row r="46" spans="1:12">
      <c r="A46" s="7" t="s">
        <v>169</v>
      </c>
      <c r="B46" s="7" t="str">
        <f t="shared" si="0"/>
        <v>GM</v>
      </c>
      <c r="C46" s="8" t="s">
        <v>25</v>
      </c>
      <c r="D46" s="7" t="str">
        <f t="shared" si="1"/>
        <v>CMR</v>
      </c>
      <c r="E46" s="7" t="str">
        <f t="shared" si="2"/>
        <v>09</v>
      </c>
      <c r="F46" s="7">
        <f t="shared" si="4"/>
        <v>5</v>
      </c>
      <c r="G46" s="9">
        <v>28464.8</v>
      </c>
      <c r="H46" s="9">
        <f t="shared" si="3"/>
        <v>5175.41818181818</v>
      </c>
      <c r="I46" s="7" t="s">
        <v>28</v>
      </c>
      <c r="J46" s="7" t="s">
        <v>54</v>
      </c>
      <c r="K46" s="7">
        <v>100000</v>
      </c>
      <c r="L46" s="7" t="str">
        <f t="shared" si="6"/>
        <v>Yes</v>
      </c>
    </row>
    <row r="47" spans="1:12">
      <c r="A47" s="7" t="s">
        <v>171</v>
      </c>
      <c r="B47" s="7" t="str">
        <f t="shared" si="0"/>
        <v>TY</v>
      </c>
      <c r="C47" s="8" t="s">
        <v>16</v>
      </c>
      <c r="D47" s="7" t="str">
        <f t="shared" si="1"/>
        <v>COR</v>
      </c>
      <c r="E47" s="7" t="str">
        <f t="shared" si="2"/>
        <v>02</v>
      </c>
      <c r="F47" s="7">
        <f t="shared" si="4"/>
        <v>12</v>
      </c>
      <c r="G47" s="9">
        <v>64467.4</v>
      </c>
      <c r="H47" s="9">
        <f t="shared" si="3"/>
        <v>5157.392</v>
      </c>
      <c r="I47" s="7" t="s">
        <v>172</v>
      </c>
      <c r="J47" s="7" t="s">
        <v>128</v>
      </c>
      <c r="K47" s="7">
        <v>100000</v>
      </c>
      <c r="L47" s="7" t="str">
        <f t="shared" si="6"/>
        <v>Yes</v>
      </c>
    </row>
    <row r="48" spans="1:12">
      <c r="A48" s="7" t="s">
        <v>174</v>
      </c>
      <c r="B48" s="7" t="str">
        <f t="shared" si="0"/>
        <v>CR</v>
      </c>
      <c r="C48" s="8" t="s">
        <v>87</v>
      </c>
      <c r="D48" s="7" t="str">
        <f t="shared" si="1"/>
        <v>CAR</v>
      </c>
      <c r="E48" s="7" t="str">
        <f t="shared" si="2"/>
        <v>99</v>
      </c>
      <c r="F48" s="7">
        <f t="shared" si="4"/>
        <v>15</v>
      </c>
      <c r="G48" s="9">
        <v>79420.6</v>
      </c>
      <c r="H48" s="9">
        <f t="shared" si="3"/>
        <v>5123.90967741935</v>
      </c>
      <c r="I48" s="7" t="s">
        <v>112</v>
      </c>
      <c r="J48" s="7" t="s">
        <v>61</v>
      </c>
      <c r="K48" s="7">
        <v>75000</v>
      </c>
      <c r="L48" s="7" t="str">
        <f t="shared" si="6"/>
        <v>No</v>
      </c>
    </row>
    <row r="49" spans="1:12">
      <c r="A49" s="7" t="s">
        <v>176</v>
      </c>
      <c r="B49" s="7" t="str">
        <f t="shared" si="0"/>
        <v>HO</v>
      </c>
      <c r="C49" s="8" t="s">
        <v>58</v>
      </c>
      <c r="D49" s="7" t="str">
        <f t="shared" si="1"/>
        <v>ODY</v>
      </c>
      <c r="E49" s="7" t="str">
        <f t="shared" si="2"/>
        <v>01</v>
      </c>
      <c r="F49" s="7">
        <f t="shared" si="4"/>
        <v>13</v>
      </c>
      <c r="G49" s="9">
        <v>68658.9</v>
      </c>
      <c r="H49" s="9">
        <f t="shared" si="3"/>
        <v>5085.84444444444</v>
      </c>
      <c r="I49" s="7" t="s">
        <v>36</v>
      </c>
      <c r="J49" s="7" t="s">
        <v>37</v>
      </c>
      <c r="K49" s="7">
        <v>100000</v>
      </c>
      <c r="L49" s="7" t="str">
        <f t="shared" si="6"/>
        <v>Yes</v>
      </c>
    </row>
    <row r="50" spans="1:12">
      <c r="A50" s="7" t="s">
        <v>178</v>
      </c>
      <c r="B50" s="7" t="str">
        <f t="shared" si="0"/>
        <v>GM</v>
      </c>
      <c r="C50" s="8" t="s">
        <v>25</v>
      </c>
      <c r="D50" s="7" t="str">
        <f t="shared" si="1"/>
        <v>SLV</v>
      </c>
      <c r="E50" s="7" t="str">
        <f t="shared" si="2"/>
        <v>98</v>
      </c>
      <c r="F50" s="7">
        <f t="shared" si="4"/>
        <v>16</v>
      </c>
      <c r="G50" s="9">
        <v>83162.7</v>
      </c>
      <c r="H50" s="9">
        <f t="shared" si="3"/>
        <v>5040.16363636364</v>
      </c>
      <c r="I50" s="7" t="s">
        <v>36</v>
      </c>
      <c r="J50" s="7" t="s">
        <v>54</v>
      </c>
      <c r="K50" s="7">
        <v>100000</v>
      </c>
      <c r="L50" s="7" t="str">
        <f t="shared" si="6"/>
        <v>Yes</v>
      </c>
    </row>
    <row r="51" spans="1:12">
      <c r="A51" s="7" t="s">
        <v>180</v>
      </c>
      <c r="B51" s="7" t="str">
        <f t="shared" si="0"/>
        <v>CR</v>
      </c>
      <c r="C51" s="8" t="s">
        <v>87</v>
      </c>
      <c r="D51" s="7" t="str">
        <f t="shared" si="1"/>
        <v>CAR</v>
      </c>
      <c r="E51" s="7" t="str">
        <f t="shared" si="2"/>
        <v>04</v>
      </c>
      <c r="F51" s="7">
        <f t="shared" si="4"/>
        <v>10</v>
      </c>
      <c r="G51" s="9">
        <v>52699.4</v>
      </c>
      <c r="H51" s="9">
        <f t="shared" si="3"/>
        <v>5018.99047619048</v>
      </c>
      <c r="I51" s="7" t="s">
        <v>172</v>
      </c>
      <c r="J51" s="7" t="s">
        <v>92</v>
      </c>
      <c r="K51" s="7">
        <v>75000</v>
      </c>
      <c r="L51" s="7" t="str">
        <f t="shared" si="6"/>
        <v>Yes</v>
      </c>
    </row>
    <row r="52" spans="1:12">
      <c r="A52" s="7" t="s">
        <v>182</v>
      </c>
      <c r="B52" s="7" t="str">
        <f t="shared" si="0"/>
        <v>HO</v>
      </c>
      <c r="C52" s="8" t="s">
        <v>58</v>
      </c>
      <c r="D52" s="7" t="str">
        <f t="shared" si="1"/>
        <v>CIV</v>
      </c>
      <c r="E52" s="7" t="str">
        <f t="shared" si="2"/>
        <v>10</v>
      </c>
      <c r="F52" s="7">
        <f t="shared" si="4"/>
        <v>4</v>
      </c>
      <c r="G52" s="9">
        <v>22573</v>
      </c>
      <c r="H52" s="9">
        <f t="shared" si="3"/>
        <v>5016.22222222222</v>
      </c>
      <c r="I52" s="7" t="s">
        <v>19</v>
      </c>
      <c r="J52" s="7" t="s">
        <v>29</v>
      </c>
      <c r="K52" s="7">
        <v>75000</v>
      </c>
      <c r="L52" s="7" t="str">
        <f t="shared" si="6"/>
        <v>Yes</v>
      </c>
    </row>
    <row r="53" spans="1:12">
      <c r="A53" s="7" t="s">
        <v>184</v>
      </c>
      <c r="B53" s="7" t="str">
        <f t="shared" si="0"/>
        <v>FD</v>
      </c>
      <c r="C53" s="8" t="s">
        <v>33</v>
      </c>
      <c r="D53" s="7" t="str">
        <f t="shared" si="1"/>
        <v>MTG</v>
      </c>
      <c r="E53" s="7" t="str">
        <f t="shared" si="2"/>
        <v>06</v>
      </c>
      <c r="F53" s="7">
        <f t="shared" si="4"/>
        <v>8</v>
      </c>
      <c r="G53" s="9">
        <v>40326.8</v>
      </c>
      <c r="H53" s="9">
        <f t="shared" si="3"/>
        <v>4744.32941176471</v>
      </c>
      <c r="I53" s="7" t="s">
        <v>36</v>
      </c>
      <c r="J53" s="7" t="s">
        <v>37</v>
      </c>
      <c r="K53" s="7">
        <v>50000</v>
      </c>
      <c r="L53" s="7" t="str">
        <f t="shared" si="6"/>
        <v>Yes</v>
      </c>
    </row>
    <row r="59" spans="3:3">
      <c r="C59" s="5" t="s">
        <v>190</v>
      </c>
    </row>
    <row r="60" spans="3:6">
      <c r="C60" s="2" t="s">
        <v>86</v>
      </c>
      <c r="D60" s="2" t="s">
        <v>87</v>
      </c>
      <c r="E60" s="2" t="s">
        <v>73</v>
      </c>
      <c r="F60" s="2" t="s">
        <v>74</v>
      </c>
    </row>
    <row r="61" spans="3:6">
      <c r="C61" s="2" t="s">
        <v>32</v>
      </c>
      <c r="D61" s="2" t="s">
        <v>33</v>
      </c>
      <c r="E61" s="2" t="s">
        <v>115</v>
      </c>
      <c r="F61" s="2" t="s">
        <v>116</v>
      </c>
    </row>
    <row r="62" spans="3:6">
      <c r="C62" s="2" t="s">
        <v>24</v>
      </c>
      <c r="D62" s="2" t="s">
        <v>25</v>
      </c>
      <c r="E62" s="2" t="s">
        <v>59</v>
      </c>
      <c r="F62" s="2" t="s">
        <v>60</v>
      </c>
    </row>
    <row r="63" spans="3:6">
      <c r="C63" s="2" t="s">
        <v>186</v>
      </c>
      <c r="D63" s="2" t="s">
        <v>58</v>
      </c>
      <c r="E63" s="2" t="s">
        <v>26</v>
      </c>
      <c r="F63" s="2" t="s">
        <v>27</v>
      </c>
    </row>
    <row r="64" spans="3:6">
      <c r="C64" s="2" t="s">
        <v>187</v>
      </c>
      <c r="D64" s="2" t="s">
        <v>46</v>
      </c>
      <c r="E64" s="2" t="s">
        <v>17</v>
      </c>
      <c r="F64" s="2" t="s">
        <v>18</v>
      </c>
    </row>
    <row r="65" spans="3:6">
      <c r="C65" s="2" t="s">
        <v>15</v>
      </c>
      <c r="D65" s="2" t="s">
        <v>16</v>
      </c>
      <c r="E65" s="2" t="s">
        <v>47</v>
      </c>
      <c r="F65" s="2" t="s">
        <v>48</v>
      </c>
    </row>
    <row r="66" spans="3:6">
      <c r="C66" s="2" t="s">
        <v>105</v>
      </c>
      <c r="D66" s="2" t="s">
        <v>106</v>
      </c>
      <c r="E66" s="2" t="s">
        <v>34</v>
      </c>
      <c r="F66" s="2" t="s">
        <v>35</v>
      </c>
    </row>
    <row r="67" spans="3:6">
      <c r="C67" s="2" t="s">
        <v>101</v>
      </c>
      <c r="D67" s="2" t="s">
        <v>102</v>
      </c>
      <c r="E67" s="2" t="s">
        <v>109</v>
      </c>
      <c r="F67" s="2" t="s">
        <v>110</v>
      </c>
    </row>
    <row r="68" spans="3:6">
      <c r="C68" s="2" t="s">
        <v>88</v>
      </c>
      <c r="D68" s="2" t="s">
        <v>89</v>
      </c>
      <c r="E68" s="2"/>
      <c r="F68" s="2"/>
    </row>
    <row r="69" spans="4:6">
      <c r="D69" s="2"/>
      <c r="E69" s="2"/>
      <c r="F69" s="2"/>
    </row>
    <row r="70" spans="4:6">
      <c r="D70" s="2"/>
      <c r="E70" s="2"/>
      <c r="F70" s="2"/>
    </row>
  </sheetData>
  <sortState ref="A2:L53">
    <sortCondition ref="H2:H53" descending="1"/>
  </sortState>
  <conditionalFormatting sqref="H$1:H$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Unmodifies</vt:lpstr>
      <vt:lpstr>Modified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Fagbohunka Vincent</cp:lastModifiedBy>
  <dcterms:created xsi:type="dcterms:W3CDTF">2025-06-24T05:06:00Z</dcterms:created>
  <dcterms:modified xsi:type="dcterms:W3CDTF">2026-08-20T14:22:04Z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DB2E3989E0274D3EB2F8DEAC361E53AE_12</vt:lpwstr>
  </property>
  <property fmtid="{D5CDD505-2E9C-101B-9397-08002B2CF9AE}" pid="3" name="KSOProductBuildVer">
    <vt:lpwstr>1033-12.2.0.23196</vt:lpwstr>
  </property>
</Properties>
</file>