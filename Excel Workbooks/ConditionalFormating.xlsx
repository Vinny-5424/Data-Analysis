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7500" activeTab="1"/>
  </bookViews>
  <sheets>
    <sheet name="Demographics" sheetId="1" r:id="rId1"/>
    <sheet name="Sales" sheetId="2" r:id="rId2"/>
  </sheets>
  <definedNames>
    <definedName name="_xlnm._FilterDatabase" localSheetId="0" hidden="1">Demographics!$A$1:$K$1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<sst xmlns="http://schemas.openxmlformats.org/spreadsheetml/2006/main" count="62" uniqueCount="52">
  <si>
    <t>Employee ID</t>
  </si>
  <si>
    <t>First Name</t>
  </si>
  <si>
    <t>Last Name</t>
  </si>
  <si>
    <t>Age</t>
  </si>
  <si>
    <t>Gender</t>
  </si>
  <si>
    <t>Job Title</t>
  </si>
  <si>
    <t>Salary</t>
  </si>
  <si>
    <t>Start Date</t>
  </si>
  <si>
    <t>End Date</t>
  </si>
  <si>
    <t>CONCATENATE(fullName)</t>
  </si>
  <si>
    <t>CONCATENATE(Email Address)</t>
  </si>
  <si>
    <t>Felix</t>
  </si>
  <si>
    <t>Parker</t>
  </si>
  <si>
    <t>Male</t>
  </si>
  <si>
    <t>Salesperson</t>
  </si>
  <si>
    <t>Patience</t>
  </si>
  <si>
    <t>Williams</t>
  </si>
  <si>
    <t>Female</t>
  </si>
  <si>
    <t>Receptionist</t>
  </si>
  <si>
    <t>Amos</t>
  </si>
  <si>
    <t>Alfred</t>
  </si>
  <si>
    <t>Deborah</t>
  </si>
  <si>
    <t>Palmer</t>
  </si>
  <si>
    <t>Accountant</t>
  </si>
  <si>
    <t>Praise</t>
  </si>
  <si>
    <t>Cole</t>
  </si>
  <si>
    <t>HR</t>
  </si>
  <si>
    <t>John</t>
  </si>
  <si>
    <t>Hudson</t>
  </si>
  <si>
    <t>Regional Manager</t>
  </si>
  <si>
    <t>Peace</t>
  </si>
  <si>
    <t>Beasley</t>
  </si>
  <si>
    <t>Supplier Relations</t>
  </si>
  <si>
    <t>Martins</t>
  </si>
  <si>
    <t>MAlone</t>
  </si>
  <si>
    <t>Scott</t>
  </si>
  <si>
    <t>Halpert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</si>
  <si>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</si>
  <si>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</si>
  <si>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</si>
  <si>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</si>
  <si>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</si>
  <si>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</si>
  <si>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</si>
  <si>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</si>
  <si>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</si>
  <si>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</si>
  <si>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Novrmber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</si>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</sst>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8" fontId="5" fillId="0" borderId="0" xfId="0" applyNumberFormat="1" applyFo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top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>
      <alignment vertical="center"/>
    </xf>
    <xf numFmtId="58" fontId="5" fillId="0" borderId="0" xfId="0" applyNumberFormat="1" applyFont="1" applyFill="1" applyAlignment="1">
      <alignment horizontal="center"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zoomScale="76" zoomScaleNormal="76" workbookViewId="0">
      <selection activeCell="H13" sqref="H13"/>
    </sheetView>
  </sheetViews>
  <sheetFormatPr defaultColWidth="9.14285714285714" defaultRowHeight="18.75"/>
  <cols>
    <col min="1" max="1" width="13" style="6" customWidth="1"/>
    <col min="2" max="2" width="11.2857142857143" style="6" customWidth="1"/>
    <col min="3" max="3" width="10.8571428571429" style="6" customWidth="1"/>
    <col min="4" max="4" width="5" style="6" customWidth="1"/>
    <col min="5" max="5" width="8.28571428571429" style="6" customWidth="1"/>
    <col min="6" max="6" width="18.7142857142857" style="6" customWidth="1"/>
    <col min="7" max="7" width="13.5238095238095" style="6" customWidth="1"/>
    <col min="8" max="8" width="14.4666666666667" style="7" customWidth="1"/>
    <col min="9" max="9" width="14.647619047619" style="6" customWidth="1"/>
    <col min="10" max="10" width="26.2857142857143" style="6" customWidth="1"/>
    <col min="11" max="11" width="30.8571428571429" style="6" customWidth="1"/>
    <col min="12" max="16384" width="9.14285714285714" style="6"/>
  </cols>
  <sheetData>
    <row r="1" s="5" customFormat="1" spans="1:11">
      <c r="A1" s="8" t="s">
        <v>0</v>
      </c>
      <c r="B1" s="9" t="s">
        <v>1</v>
      </c>
      <c r="C1" s="9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17" t="s">
        <v>10</v>
      </c>
    </row>
    <row r="2" spans="1:11">
      <c r="A2" s="11">
        <v>1001</v>
      </c>
      <c r="B2" s="12" t="s">
        <v>11</v>
      </c>
      <c r="C2" s="13" t="s">
        <v>12</v>
      </c>
      <c r="D2" s="14">
        <v>30</v>
      </c>
      <c r="E2" s="13" t="s">
        <v>13</v>
      </c>
      <c r="F2" s="13" t="s">
        <v>14</v>
      </c>
      <c r="G2" s="14">
        <v>45000</v>
      </c>
      <c r="H2" s="15">
        <v>37197</v>
      </c>
      <c r="I2" s="18">
        <v>42253</v>
      </c>
      <c r="J2" s="13" t="str" cm="1">
        <f t="array" ref="J2:J10">CONCATENATE(B2:B10," ",C2:C10)</f>
        <v>Felix Parker</v>
      </c>
      <c r="K2" s="19" t="str" cm="1">
        <f t="array" ref="K2:K10">CONCATENATE(LOWER(B2:B10),LOWER(C2:C10),"@gmail.com")</f>
        <v>felixparker@gmail.com</v>
      </c>
    </row>
    <row r="3" spans="1:11">
      <c r="A3" s="11">
        <v>1002</v>
      </c>
      <c r="B3" s="13" t="s">
        <v>15</v>
      </c>
      <c r="C3" s="13" t="s">
        <v>16</v>
      </c>
      <c r="D3" s="14">
        <v>30</v>
      </c>
      <c r="E3" s="13" t="s">
        <v>17</v>
      </c>
      <c r="F3" s="13" t="s">
        <v>18</v>
      </c>
      <c r="G3" s="14">
        <v>36000</v>
      </c>
      <c r="H3" s="15">
        <v>36436</v>
      </c>
      <c r="I3" s="18">
        <v>42287</v>
      </c>
      <c r="J3" s="13" t="str">
        <v>Patience Williams</v>
      </c>
      <c r="K3" s="19" t="str">
        <v>patiencewilliams@gmail.com</v>
      </c>
    </row>
    <row r="4" spans="1:11">
      <c r="A4" s="11">
        <v>1003</v>
      </c>
      <c r="B4" s="13" t="s">
        <v>19</v>
      </c>
      <c r="C4" s="13" t="s">
        <v>20</v>
      </c>
      <c r="D4" s="14">
        <v>29</v>
      </c>
      <c r="E4" s="13" t="s">
        <v>13</v>
      </c>
      <c r="F4" s="13" t="s">
        <v>14</v>
      </c>
      <c r="G4" s="14">
        <v>63000</v>
      </c>
      <c r="H4" s="15">
        <v>36711</v>
      </c>
      <c r="I4" s="18">
        <v>42986</v>
      </c>
      <c r="J4" s="13" t="str">
        <v>Amos Alfred</v>
      </c>
      <c r="K4" s="19" t="str">
        <v>amosalfred@gmail.com</v>
      </c>
    </row>
    <row r="5" spans="1:11">
      <c r="A5" s="11">
        <v>1004</v>
      </c>
      <c r="B5" s="13" t="s">
        <v>21</v>
      </c>
      <c r="C5" s="13" t="s">
        <v>22</v>
      </c>
      <c r="D5" s="14">
        <v>31</v>
      </c>
      <c r="E5" s="13" t="s">
        <v>13</v>
      </c>
      <c r="F5" s="13" t="s">
        <v>23</v>
      </c>
      <c r="G5" s="14">
        <v>47000</v>
      </c>
      <c r="H5" s="15">
        <v>36530</v>
      </c>
      <c r="I5" s="18">
        <v>42341</v>
      </c>
      <c r="J5" s="13" t="str">
        <v>Deborah Palmer</v>
      </c>
      <c r="K5" s="19" t="str">
        <v>deborahpalmer@gmail.com</v>
      </c>
    </row>
    <row r="6" spans="1:11">
      <c r="A6" s="11">
        <v>1005</v>
      </c>
      <c r="B6" s="13" t="s">
        <v>24</v>
      </c>
      <c r="C6" s="13" t="s">
        <v>25</v>
      </c>
      <c r="D6" s="14">
        <v>32</v>
      </c>
      <c r="E6" s="13" t="s">
        <v>17</v>
      </c>
      <c r="F6" s="13" t="s">
        <v>26</v>
      </c>
      <c r="G6" s="14">
        <v>50000</v>
      </c>
      <c r="H6" s="15">
        <v>37017</v>
      </c>
      <c r="I6" s="18">
        <v>42977</v>
      </c>
      <c r="J6" s="13" t="str">
        <v>Praise Cole</v>
      </c>
      <c r="K6" s="19" t="str">
        <v>praisecole@gmail.com</v>
      </c>
    </row>
    <row r="7" spans="1:11">
      <c r="A7" s="11">
        <v>1006</v>
      </c>
      <c r="B7" s="13" t="s">
        <v>27</v>
      </c>
      <c r="C7" s="13" t="s">
        <v>28</v>
      </c>
      <c r="D7" s="14">
        <v>35</v>
      </c>
      <c r="E7" s="13" t="s">
        <v>13</v>
      </c>
      <c r="F7" s="13" t="s">
        <v>29</v>
      </c>
      <c r="G7" s="14">
        <v>65000</v>
      </c>
      <c r="H7" s="15">
        <v>37017</v>
      </c>
      <c r="I7" s="18">
        <v>41528</v>
      </c>
      <c r="J7" s="13" t="str">
        <v>John Hudson</v>
      </c>
      <c r="K7" s="19" t="str">
        <v>johnhudson@gmail.com</v>
      </c>
    </row>
    <row r="8" spans="1:11">
      <c r="A8" s="11">
        <v>1007</v>
      </c>
      <c r="B8" s="13" t="s">
        <v>30</v>
      </c>
      <c r="C8" s="13" t="s">
        <v>31</v>
      </c>
      <c r="D8" s="14">
        <v>32</v>
      </c>
      <c r="E8" s="13" t="s">
        <v>17</v>
      </c>
      <c r="F8" s="13" t="s">
        <v>32</v>
      </c>
      <c r="G8" s="14">
        <v>41000</v>
      </c>
      <c r="H8" s="15">
        <v>37933</v>
      </c>
      <c r="I8" s="18">
        <v>41551</v>
      </c>
      <c r="J8" s="13" t="str">
        <v>Peace Beasley</v>
      </c>
      <c r="K8" s="19" t="str">
        <v>peacebeasley@gmail.com</v>
      </c>
    </row>
    <row r="9" spans="1:11">
      <c r="A9" s="11">
        <v>1008</v>
      </c>
      <c r="B9" s="13" t="s">
        <v>33</v>
      </c>
      <c r="C9" s="13" t="s">
        <v>34</v>
      </c>
      <c r="D9" s="14">
        <v>38</v>
      </c>
      <c r="E9" s="13" t="s">
        <v>13</v>
      </c>
      <c r="F9" s="13" t="s">
        <v>14</v>
      </c>
      <c r="G9" s="14">
        <v>48000</v>
      </c>
      <c r="H9" s="15">
        <v>37416</v>
      </c>
      <c r="I9" s="18">
        <v>42116</v>
      </c>
      <c r="J9" s="13" t="str">
        <v>Martins MAlone</v>
      </c>
      <c r="K9" s="19" t="str">
        <v>martinsmalone@gmail.com</v>
      </c>
    </row>
    <row r="10" spans="1:11">
      <c r="A10" s="11">
        <v>1009</v>
      </c>
      <c r="B10" s="13" t="s">
        <v>35</v>
      </c>
      <c r="C10" s="13" t="s">
        <v>36</v>
      </c>
      <c r="D10" s="14">
        <v>31</v>
      </c>
      <c r="E10" s="13" t="s">
        <v>13</v>
      </c>
      <c r="F10" s="13" t="s">
        <v>23</v>
      </c>
      <c r="G10" s="14">
        <v>42000</v>
      </c>
      <c r="H10" s="15">
        <v>37843</v>
      </c>
      <c r="I10" s="18">
        <v>40800</v>
      </c>
      <c r="J10" s="13" t="str">
        <v>Scott Halpert</v>
      </c>
      <c r="K10" s="19" t="str">
        <v>scotthalpert@gmail.com</v>
      </c>
    </row>
    <row r="11" spans="1:10">
      <c r="A11" s="16"/>
      <c r="B11" s="14"/>
      <c r="C11" s="14"/>
      <c r="D11" s="16"/>
      <c r="E11" s="14"/>
      <c r="F11" s="14"/>
      <c r="G11" s="14"/>
      <c r="H11" s="15"/>
      <c r="I11" s="14"/>
      <c r="J11" s="14"/>
    </row>
  </sheetData>
  <conditionalFormatting sqref="D2:D10">
    <cfRule type="expression" dxfId="0" priority="1">
      <formula>D2:D10&gt;30</formula>
    </cfRule>
  </conditionalFormatting>
  <conditionalFormatting sqref="G2:G10">
    <cfRule type="expression" dxfId="1" priority="2">
      <formula>G2:G10&gt;50000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topLeftCell="B1" workbookViewId="0">
      <selection activeCell="G9" sqref="G9"/>
    </sheetView>
  </sheetViews>
  <sheetFormatPr defaultColWidth="9.14285714285714" defaultRowHeight="15" outlineLevelRow="3"/>
  <cols>
    <col min="1" max="1" width="14.4285714285714" style="2" customWidth="1"/>
    <col min="2" max="2" width="8.85714285714286" style="2" customWidth="1"/>
    <col min="3" max="3" width="10" style="2" customWidth="1"/>
    <col min="4" max="4" width="7.71428571428571" style="2" customWidth="1"/>
    <col min="5" max="8" width="6.57142857142857" style="2" customWidth="1"/>
    <col min="9" max="9" width="8.28571428571429" style="2" customWidth="1"/>
    <col min="10" max="10" width="11.7142857142857" style="2" customWidth="1"/>
    <col min="11" max="11" width="9.28571428571429" style="2" customWidth="1"/>
    <col min="12" max="12" width="11.2857142857143" style="2" customWidth="1"/>
    <col min="13" max="13" width="11.4285714285714" style="2" customWidth="1"/>
    <col min="14" max="16384" width="9.14285714285714" style="2"/>
  </cols>
  <sheetData>
    <row r="1" s="1" customFormat="1" spans="1:13">
      <c r="A1" s="3"/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</row>
    <row r="2" spans="1:13">
      <c r="A2" s="3" t="s">
        <v>49</v>
      </c>
      <c r="B2" s="4">
        <v>345</v>
      </c>
      <c r="C2" s="4">
        <v>223</v>
      </c>
      <c r="D2" s="4">
        <v>563</v>
      </c>
      <c r="E2" s="4">
        <v>233</v>
      </c>
      <c r="F2" s="4">
        <v>412</v>
      </c>
      <c r="G2" s="4">
        <v>500</v>
      </c>
      <c r="H2" s="4">
        <v>134</v>
      </c>
      <c r="I2" s="4">
        <v>167</v>
      </c>
      <c r="J2" s="4">
        <v>198</v>
      </c>
      <c r="K2" s="4">
        <v>322</v>
      </c>
      <c r="L2" s="4">
        <v>435</v>
      </c>
      <c r="M2" s="4">
        <v>466</v>
      </c>
    </row>
    <row r="3" spans="1:13">
      <c r="A3" s="3" t="s">
        <v>50</v>
      </c>
      <c r="B3" s="4">
        <v>44</v>
      </c>
      <c r="C3" s="4">
        <v>22</v>
      </c>
      <c r="D3" s="4">
        <v>75</v>
      </c>
      <c r="E3" s="4">
        <v>64</v>
      </c>
      <c r="F3" s="4">
        <v>76</v>
      </c>
      <c r="G3" s="4">
        <v>83</v>
      </c>
      <c r="H3" s="4">
        <v>89</v>
      </c>
      <c r="I3" s="4">
        <v>48</v>
      </c>
      <c r="J3" s="4">
        <v>89</v>
      </c>
      <c r="K3" s="4">
        <v>67</v>
      </c>
      <c r="L3" s="4">
        <v>35</v>
      </c>
      <c r="M3" s="4">
        <v>45</v>
      </c>
    </row>
    <row r="4" spans="1:13">
      <c r="A4" s="3" t="s">
        <v>51</v>
      </c>
      <c r="B4" s="4">
        <v>235</v>
      </c>
      <c r="C4" s="4">
        <v>155</v>
      </c>
      <c r="D4" s="4">
        <v>187</v>
      </c>
      <c r="E4" s="4">
        <v>167</v>
      </c>
      <c r="F4" s="4">
        <v>299</v>
      </c>
      <c r="G4" s="4">
        <v>256</v>
      </c>
      <c r="H4" s="4">
        <v>259</v>
      </c>
      <c r="I4" s="4">
        <v>260</v>
      </c>
      <c r="J4" s="4">
        <v>156</v>
      </c>
      <c r="K4" s="4">
        <v>177</v>
      </c>
      <c r="L4" s="4">
        <v>184</v>
      </c>
      <c r="M4" s="4">
        <v>210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Fagbohunka Vincent</dc:creator>
  <cp:lastModifiedBy>Fagbohunka Vincent</cp:lastModifiedBy>
  <dcterms:created xsi:type="dcterms:W3CDTF">2026-08-19T11:15:00Z</dcterms:created>
  <dcterms:modified xsi:type="dcterms:W3CDTF">2026-08-19T15:41:30Z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5EC0A515D5B14AFC95C10F9B30FF8B5C_11</vt:lpwstr>
  </property>
  <property fmtid="{D5CDD505-2E9C-101B-9397-08002B2CF9AE}" pid="3" name="KSOProductBuildVer">
    <vt:lpwstr>1033-12.2.0.23196</vt:lpwstr>
  </property>
</Properties>
</file>