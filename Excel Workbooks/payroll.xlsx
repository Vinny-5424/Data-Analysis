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50" windowWidth="8595" windowHeight="699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R9" i="1" l="1"/>
  <c r="D24" i="1"/>
  <c r="E24" i="1"/>
  <c r="F24" i="1"/>
  <c r="G24" i="1"/>
  <c r="H24" i="1"/>
  <c r="C24" i="1"/>
  <c r="E21" i="1"/>
  <c r="F21" i="1"/>
  <c r="G21" i="1"/>
  <c r="H21" i="1"/>
  <c r="E22" i="1"/>
  <c r="F22" i="1"/>
  <c r="G22" i="1"/>
  <c r="H22" i="1"/>
  <c r="E23" i="1"/>
  <c r="F23" i="1"/>
  <c r="G23" i="1"/>
  <c r="H23" i="1"/>
  <c r="D23" i="1"/>
  <c r="D22" i="1"/>
  <c r="D21" i="1"/>
  <c r="C21" i="1"/>
  <c r="C23" i="1"/>
  <c r="C22" i="1"/>
  <c r="T3" i="1" l="1"/>
  <c r="U3" i="1" s="1"/>
  <c r="V3" i="1" s="1"/>
  <c r="W3" i="1" s="1"/>
  <c r="Y3" i="1"/>
  <c r="Z3" i="1"/>
  <c r="AA3" i="1" s="1"/>
  <c r="AB3" i="1" s="1"/>
  <c r="W9" i="1"/>
  <c r="AB9" i="1" s="1"/>
  <c r="AB21" i="1" s="1"/>
  <c r="P4" i="1"/>
  <c r="Q4" i="1"/>
  <c r="V4" i="1" s="1"/>
  <c r="R4" i="1"/>
  <c r="P5" i="1"/>
  <c r="U5" i="1" s="1"/>
  <c r="Z5" i="1" s="1"/>
  <c r="Q5" i="1"/>
  <c r="V5" i="1" s="1"/>
  <c r="AA5" i="1" s="1"/>
  <c r="R5" i="1"/>
  <c r="W5" i="1" s="1"/>
  <c r="AB5" i="1" s="1"/>
  <c r="P6" i="1"/>
  <c r="U6" i="1" s="1"/>
  <c r="Z6" i="1" s="1"/>
  <c r="Q6" i="1"/>
  <c r="V6" i="1" s="1"/>
  <c r="AA6" i="1" s="1"/>
  <c r="R6" i="1"/>
  <c r="W6" i="1" s="1"/>
  <c r="AB6" i="1" s="1"/>
  <c r="P7" i="1"/>
  <c r="U7" i="1" s="1"/>
  <c r="Z7" i="1" s="1"/>
  <c r="Q7" i="1"/>
  <c r="V7" i="1" s="1"/>
  <c r="AA7" i="1" s="1"/>
  <c r="R7" i="1"/>
  <c r="W7" i="1" s="1"/>
  <c r="AB7" i="1" s="1"/>
  <c r="P8" i="1"/>
  <c r="U8" i="1" s="1"/>
  <c r="Z8" i="1" s="1"/>
  <c r="Q8" i="1"/>
  <c r="V8" i="1" s="1"/>
  <c r="AA8" i="1" s="1"/>
  <c r="R8" i="1"/>
  <c r="W8" i="1" s="1"/>
  <c r="AB8" i="1" s="1"/>
  <c r="P9" i="1"/>
  <c r="U9" i="1" s="1"/>
  <c r="Z9" i="1" s="1"/>
  <c r="Q9" i="1"/>
  <c r="V9" i="1" s="1"/>
  <c r="AA9" i="1" s="1"/>
  <c r="P10" i="1"/>
  <c r="U10" i="1" s="1"/>
  <c r="Z10" i="1" s="1"/>
  <c r="Q10" i="1"/>
  <c r="V10" i="1" s="1"/>
  <c r="AA10" i="1" s="1"/>
  <c r="R10" i="1"/>
  <c r="W10" i="1" s="1"/>
  <c r="AB10" i="1" s="1"/>
  <c r="P11" i="1"/>
  <c r="U11" i="1" s="1"/>
  <c r="Z11" i="1" s="1"/>
  <c r="Q11" i="1"/>
  <c r="V11" i="1" s="1"/>
  <c r="AA11" i="1" s="1"/>
  <c r="R11" i="1"/>
  <c r="W11" i="1" s="1"/>
  <c r="AB11" i="1" s="1"/>
  <c r="P12" i="1"/>
  <c r="U12" i="1" s="1"/>
  <c r="Z12" i="1" s="1"/>
  <c r="Q12" i="1"/>
  <c r="V12" i="1" s="1"/>
  <c r="AA12" i="1" s="1"/>
  <c r="R12" i="1"/>
  <c r="W12" i="1" s="1"/>
  <c r="AB12" i="1" s="1"/>
  <c r="P13" i="1"/>
  <c r="U13" i="1" s="1"/>
  <c r="Z13" i="1" s="1"/>
  <c r="Q13" i="1"/>
  <c r="V13" i="1" s="1"/>
  <c r="AA13" i="1" s="1"/>
  <c r="R13" i="1"/>
  <c r="W13" i="1" s="1"/>
  <c r="AB13" i="1" s="1"/>
  <c r="P14" i="1"/>
  <c r="U14" i="1" s="1"/>
  <c r="Z14" i="1" s="1"/>
  <c r="Q14" i="1"/>
  <c r="V14" i="1" s="1"/>
  <c r="AA14" i="1" s="1"/>
  <c r="R14" i="1"/>
  <c r="W14" i="1" s="1"/>
  <c r="AB14" i="1" s="1"/>
  <c r="P15" i="1"/>
  <c r="U15" i="1" s="1"/>
  <c r="Z15" i="1" s="1"/>
  <c r="Q15" i="1"/>
  <c r="V15" i="1" s="1"/>
  <c r="AA15" i="1" s="1"/>
  <c r="R15" i="1"/>
  <c r="W15" i="1" s="1"/>
  <c r="AB15" i="1" s="1"/>
  <c r="P16" i="1"/>
  <c r="U16" i="1" s="1"/>
  <c r="Z16" i="1" s="1"/>
  <c r="Q16" i="1"/>
  <c r="V16" i="1" s="1"/>
  <c r="AA16" i="1" s="1"/>
  <c r="R16" i="1"/>
  <c r="W16" i="1" s="1"/>
  <c r="AB16" i="1" s="1"/>
  <c r="P17" i="1"/>
  <c r="U17" i="1" s="1"/>
  <c r="Z17" i="1" s="1"/>
  <c r="Q17" i="1"/>
  <c r="V17" i="1" s="1"/>
  <c r="AA17" i="1" s="1"/>
  <c r="R17" i="1"/>
  <c r="W17" i="1" s="1"/>
  <c r="AB17" i="1" s="1"/>
  <c r="P18" i="1"/>
  <c r="U18" i="1" s="1"/>
  <c r="Z18" i="1" s="1"/>
  <c r="Q18" i="1"/>
  <c r="V18" i="1" s="1"/>
  <c r="AA18" i="1" s="1"/>
  <c r="R18" i="1"/>
  <c r="W18" i="1" s="1"/>
  <c r="AB18" i="1" s="1"/>
  <c r="O18" i="1"/>
  <c r="T18" i="1" s="1"/>
  <c r="Y18" i="1" s="1"/>
  <c r="O17" i="1"/>
  <c r="T17" i="1" s="1"/>
  <c r="Y17" i="1" s="1"/>
  <c r="O16" i="1"/>
  <c r="T16" i="1" s="1"/>
  <c r="Y16" i="1" s="1"/>
  <c r="O15" i="1"/>
  <c r="T15" i="1" s="1"/>
  <c r="Y15" i="1" s="1"/>
  <c r="O14" i="1"/>
  <c r="T14" i="1" s="1"/>
  <c r="Y14" i="1" s="1"/>
  <c r="O13" i="1"/>
  <c r="T13" i="1" s="1"/>
  <c r="Y13" i="1" s="1"/>
  <c r="O12" i="1"/>
  <c r="T12" i="1" s="1"/>
  <c r="Y12" i="1" s="1"/>
  <c r="O11" i="1"/>
  <c r="T11" i="1" s="1"/>
  <c r="Y11" i="1" s="1"/>
  <c r="O10" i="1"/>
  <c r="T10" i="1" s="1"/>
  <c r="Y10" i="1" s="1"/>
  <c r="O9" i="1"/>
  <c r="T9" i="1" s="1"/>
  <c r="Y9" i="1" s="1"/>
  <c r="O8" i="1"/>
  <c r="T8" i="1" s="1"/>
  <c r="Y8" i="1" s="1"/>
  <c r="O7" i="1"/>
  <c r="T7" i="1" s="1"/>
  <c r="Y7" i="1" s="1"/>
  <c r="O6" i="1"/>
  <c r="T6" i="1" s="1"/>
  <c r="Y6" i="1" s="1"/>
  <c r="O5" i="1"/>
  <c r="T5" i="1" s="1"/>
  <c r="Y5" i="1" s="1"/>
  <c r="O4" i="1"/>
  <c r="N4" i="1"/>
  <c r="N5" i="1"/>
  <c r="S5" i="1" s="1"/>
  <c r="X5" i="1" s="1"/>
  <c r="N6" i="1"/>
  <c r="S6" i="1" s="1"/>
  <c r="X6" i="1" s="1"/>
  <c r="AC6" i="1" s="1"/>
  <c r="N7" i="1"/>
  <c r="S7" i="1" s="1"/>
  <c r="X7" i="1" s="1"/>
  <c r="N8" i="1"/>
  <c r="S8" i="1" s="1"/>
  <c r="X8" i="1" s="1"/>
  <c r="AC8" i="1" s="1"/>
  <c r="N9" i="1"/>
  <c r="S9" i="1" s="1"/>
  <c r="X9" i="1" s="1"/>
  <c r="N10" i="1"/>
  <c r="S10" i="1" s="1"/>
  <c r="X10" i="1" s="1"/>
  <c r="AC10" i="1" s="1"/>
  <c r="N11" i="1"/>
  <c r="S11" i="1" s="1"/>
  <c r="X11" i="1" s="1"/>
  <c r="N12" i="1"/>
  <c r="S12" i="1" s="1"/>
  <c r="X12" i="1" s="1"/>
  <c r="AC12" i="1" s="1"/>
  <c r="N13" i="1"/>
  <c r="S13" i="1" s="1"/>
  <c r="X13" i="1" s="1"/>
  <c r="N14" i="1"/>
  <c r="S14" i="1" s="1"/>
  <c r="X14" i="1" s="1"/>
  <c r="AC14" i="1" s="1"/>
  <c r="N15" i="1"/>
  <c r="S15" i="1" s="1"/>
  <c r="X15" i="1" s="1"/>
  <c r="N16" i="1"/>
  <c r="S16" i="1" s="1"/>
  <c r="X16" i="1" s="1"/>
  <c r="AC16" i="1" s="1"/>
  <c r="N17" i="1"/>
  <c r="S17" i="1" s="1"/>
  <c r="X17" i="1" s="1"/>
  <c r="N18" i="1"/>
  <c r="S18" i="1" s="1"/>
  <c r="X18" i="1" s="1"/>
  <c r="AC18" i="1" s="1"/>
  <c r="O3" i="1"/>
  <c r="P3" i="1" s="1"/>
  <c r="Q3" i="1" s="1"/>
  <c r="R3" i="1" s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4" i="1"/>
  <c r="J3" i="1"/>
  <c r="K3" i="1" s="1"/>
  <c r="L3" i="1" s="1"/>
  <c r="M3" i="1" s="1"/>
  <c r="E3" i="1"/>
  <c r="F3" i="1" s="1"/>
  <c r="G3" i="1" s="1"/>
  <c r="H3" i="1" s="1"/>
  <c r="V24" i="1" l="1"/>
  <c r="V22" i="1"/>
  <c r="V23" i="1"/>
  <c r="V21" i="1"/>
  <c r="AA4" i="1"/>
  <c r="AC17" i="1"/>
  <c r="AC15" i="1"/>
  <c r="AC13" i="1"/>
  <c r="AC11" i="1"/>
  <c r="AC9" i="1"/>
  <c r="AC21" i="1" s="1"/>
  <c r="AC7" i="1"/>
  <c r="AC5" i="1"/>
  <c r="J21" i="1"/>
  <c r="J24" i="1"/>
  <c r="J22" i="1"/>
  <c r="J23" i="1"/>
  <c r="L21" i="1"/>
  <c r="L24" i="1"/>
  <c r="L22" i="1"/>
  <c r="L23" i="1"/>
  <c r="O24" i="1"/>
  <c r="O22" i="1"/>
  <c r="O21" i="1"/>
  <c r="O23" i="1"/>
  <c r="R21" i="1"/>
  <c r="R24" i="1"/>
  <c r="R22" i="1"/>
  <c r="R23" i="1"/>
  <c r="P21" i="1"/>
  <c r="P24" i="1"/>
  <c r="P22" i="1"/>
  <c r="P23" i="1"/>
  <c r="T4" i="1"/>
  <c r="I24" i="1"/>
  <c r="I21" i="1"/>
  <c r="I22" i="1"/>
  <c r="I23" i="1"/>
  <c r="K24" i="1"/>
  <c r="K22" i="1"/>
  <c r="K21" i="1"/>
  <c r="K23" i="1"/>
  <c r="M24" i="1"/>
  <c r="M23" i="1"/>
  <c r="M21" i="1"/>
  <c r="M22" i="1"/>
  <c r="N21" i="1"/>
  <c r="N24" i="1"/>
  <c r="N22" i="1"/>
  <c r="N23" i="1"/>
  <c r="Q24" i="1"/>
  <c r="Q23" i="1"/>
  <c r="Q21" i="1"/>
  <c r="Q22" i="1"/>
  <c r="W4" i="1"/>
  <c r="U4" i="1"/>
  <c r="S4" i="1"/>
  <c r="T21" i="1" l="1"/>
  <c r="T24" i="1"/>
  <c r="T22" i="1"/>
  <c r="T23" i="1"/>
  <c r="Y4" i="1"/>
  <c r="S24" i="1"/>
  <c r="S21" i="1"/>
  <c r="S22" i="1"/>
  <c r="S23" i="1"/>
  <c r="X4" i="1"/>
  <c r="W24" i="1"/>
  <c r="W23" i="1"/>
  <c r="W21" i="1"/>
  <c r="W22" i="1"/>
  <c r="AB4" i="1"/>
  <c r="U24" i="1"/>
  <c r="U22" i="1"/>
  <c r="U21" i="1"/>
  <c r="U23" i="1"/>
  <c r="Z4" i="1"/>
  <c r="AA24" i="1"/>
  <c r="AA23" i="1"/>
  <c r="AA21" i="1"/>
  <c r="AA22" i="1"/>
  <c r="AB24" i="1" l="1"/>
  <c r="AB22" i="1"/>
  <c r="AB23" i="1"/>
  <c r="Z21" i="1"/>
  <c r="Z24" i="1"/>
  <c r="Z22" i="1"/>
  <c r="Z23" i="1"/>
  <c r="AC4" i="1"/>
  <c r="X21" i="1"/>
  <c r="X24" i="1"/>
  <c r="X22" i="1"/>
  <c r="X23" i="1"/>
  <c r="Y24" i="1"/>
  <c r="Y22" i="1"/>
  <c r="Y21" i="1"/>
  <c r="Y23" i="1"/>
  <c r="AC23" i="1" l="1"/>
  <c r="AC24" i="1"/>
  <c r="AC22" i="1"/>
</calcChain>
</file>

<file path=xl/sharedStrings.xml><?xml version="1.0" encoding="utf-8"?>
<sst xmlns="http://schemas.openxmlformats.org/spreadsheetml/2006/main" count="44" uniqueCount="44">
  <si>
    <t>Last Name</t>
  </si>
  <si>
    <t xml:space="preserve"> Employee Payroll</t>
  </si>
  <si>
    <t>First Name</t>
  </si>
  <si>
    <t>Hourly Wage</t>
  </si>
  <si>
    <t>Hourly Worked Pay</t>
  </si>
  <si>
    <t>Adeleke</t>
  </si>
  <si>
    <t>Peter</t>
  </si>
  <si>
    <t>John</t>
  </si>
  <si>
    <t>Paul</t>
  </si>
  <si>
    <t>Josh</t>
  </si>
  <si>
    <t>Dan</t>
  </si>
  <si>
    <t>Tyler</t>
  </si>
  <si>
    <t>Drake</t>
  </si>
  <si>
    <t>Felix</t>
  </si>
  <si>
    <t>Ayo</t>
  </si>
  <si>
    <t>Emeka</t>
  </si>
  <si>
    <t>Tolu</t>
  </si>
  <si>
    <t>Tola</t>
  </si>
  <si>
    <t>Gladys</t>
  </si>
  <si>
    <t>Evelyn</t>
  </si>
  <si>
    <t>Akin</t>
  </si>
  <si>
    <t>Adebiyi</t>
  </si>
  <si>
    <t>Scott</t>
  </si>
  <si>
    <t>Ryan</t>
  </si>
  <si>
    <t>Maddison</t>
  </si>
  <si>
    <t>Harry</t>
  </si>
  <si>
    <t>Trent</t>
  </si>
  <si>
    <t>Cole</t>
  </si>
  <si>
    <t>Ibitunde</t>
  </si>
  <si>
    <t>Madueke</t>
  </si>
  <si>
    <t>Akintola</t>
  </si>
  <si>
    <t>Fadele</t>
  </si>
  <si>
    <t>Niniola</t>
  </si>
  <si>
    <t>babatunde</t>
  </si>
  <si>
    <t>Adekunle</t>
  </si>
  <si>
    <t>Pay</t>
  </si>
  <si>
    <t>Overtime</t>
  </si>
  <si>
    <t>Overtime Bonus</t>
  </si>
  <si>
    <t>Total pay</t>
  </si>
  <si>
    <t>Maximum</t>
  </si>
  <si>
    <t>Minimum</t>
  </si>
  <si>
    <t>Average</t>
  </si>
  <si>
    <t>Total</t>
  </si>
  <si>
    <t>Jan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</si>
</sst>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16" fontId="0" fillId="0" borderId="0" xfId="0" applyNumberFormat="1"/>
    <xf numFmtId="44" fontId="0" fillId="0" borderId="0" xfId="1" applyFont="1"/>
    <xf numFmtId="43" fontId="0" fillId="0" borderId="0" xfId="1" applyNumberFormat="1" applyFont="1"/>
    <xf numFmtId="44" fontId="0" fillId="0" borderId="0" xfId="0" applyNumberFormat="1"/>
    <xf numFmtId="43" fontId="0" fillId="0" borderId="0" xfId="0" applyNumberFormat="1"/>
    <xf numFmtId="16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4"/>
  <sheetViews>
    <sheetView tabSelected="1" topLeftCell="I7" zoomScale="85" zoomScaleNormal="85" workbookViewId="0">
      <selection activeCell="L36" sqref="L36"/>
    </sheetView>
  </sheetViews>
  <sheetFormatPr defaultRowHeight="15" x14ac:dyDescent="0.25"/>
  <cols>
    <col min="1" max="1" width="11" customWidth="1"/>
    <col min="2" max="2" width="10.7109375" customWidth="1"/>
    <col min="3" max="3" width="12.28515625" customWidth="1"/>
    <col min="4" max="4" width="10.42578125" customWidth="1"/>
    <col min="9" max="9" width="14" customWidth="1"/>
    <col min="10" max="10" width="13.5703125" customWidth="1"/>
    <col min="11" max="11" width="14" customWidth="1"/>
    <col min="12" max="12" width="14.7109375" customWidth="1"/>
    <col min="13" max="13" width="14" customWidth="1"/>
    <col min="19" max="19" width="13" customWidth="1"/>
    <col min="21" max="21" width="14.28515625" customWidth="1"/>
    <col min="24" max="24" width="12.140625" customWidth="1"/>
    <col min="25" max="25" width="13" customWidth="1"/>
    <col min="26" max="27" width="11.42578125" customWidth="1"/>
    <col min="28" max="28" width="14" customWidth="1"/>
    <col min="29" max="29" width="11.85546875" customWidth="1"/>
  </cols>
  <sheetData>
    <row r="1" spans="1:29" x14ac:dyDescent="0.25">
      <c r="A1" t="s">
        <v>1</v>
      </c>
    </row>
    <row r="2" spans="1:29" x14ac:dyDescent="0.25">
      <c r="D2" t="s">
        <v>4</v>
      </c>
      <c r="I2" t="s">
        <v>35</v>
      </c>
      <c r="N2" t="s">
        <v>36</v>
      </c>
      <c r="S2" t="s">
        <v>37</v>
      </c>
      <c r="X2" t="s">
        <v>38</v>
      </c>
      <c r="AC2" t="s">
        <v>43</v>
      </c>
    </row>
    <row r="3" spans="1:29" x14ac:dyDescent="0.25">
      <c r="A3" t="s">
        <v>0</v>
      </c>
      <c r="B3" t="s">
        <v>2</v>
      </c>
      <c r="C3" t="s">
        <v>3</v>
      </c>
      <c r="D3" s="1">
        <v>45658</v>
      </c>
      <c r="E3" s="1">
        <f>D3+7</f>
        <v>45665</v>
      </c>
      <c r="F3" s="1">
        <f t="shared" ref="F3:G3" si="0">E3+7</f>
        <v>45672</v>
      </c>
      <c r="G3" s="1">
        <f t="shared" si="0"/>
        <v>45679</v>
      </c>
      <c r="H3" s="1">
        <f>G3+7</f>
        <v>45686</v>
      </c>
      <c r="I3" s="1">
        <v>45658</v>
      </c>
      <c r="J3" s="1">
        <f>I3+7</f>
        <v>45665</v>
      </c>
      <c r="K3" s="1">
        <f t="shared" ref="K3:L3" si="1">J3+7</f>
        <v>45672</v>
      </c>
      <c r="L3" s="1">
        <f t="shared" si="1"/>
        <v>45679</v>
      </c>
      <c r="M3" s="1">
        <f>L3+7</f>
        <v>45686</v>
      </c>
      <c r="N3" s="1">
        <v>45658</v>
      </c>
      <c r="O3" s="1">
        <f>N3+7</f>
        <v>45665</v>
      </c>
      <c r="P3" s="1">
        <f t="shared" ref="P3:Q3" si="2">O3+7</f>
        <v>45672</v>
      </c>
      <c r="Q3" s="1">
        <f t="shared" si="2"/>
        <v>45679</v>
      </c>
      <c r="R3" s="1">
        <f>Q3+7</f>
        <v>45686</v>
      </c>
      <c r="S3" s="1">
        <v>45658</v>
      </c>
      <c r="T3" s="1">
        <f>S3+7</f>
        <v>45665</v>
      </c>
      <c r="U3" s="1">
        <f t="shared" ref="U3:V3" si="3">T3+7</f>
        <v>45672</v>
      </c>
      <c r="V3" s="1">
        <f t="shared" si="3"/>
        <v>45679</v>
      </c>
      <c r="W3" s="1">
        <f>V3+7</f>
        <v>45686</v>
      </c>
      <c r="X3" s="1">
        <v>45658</v>
      </c>
      <c r="Y3" s="1">
        <f>X3+7</f>
        <v>45665</v>
      </c>
      <c r="Z3" s="1">
        <f t="shared" ref="Z3:AA3" si="4">Y3+7</f>
        <v>45672</v>
      </c>
      <c r="AA3" s="1">
        <f t="shared" si="4"/>
        <v>45679</v>
      </c>
      <c r="AB3" s="1">
        <f>AA3+7</f>
        <v>45686</v>
      </c>
    </row>
    <row r="4" spans="1:29" x14ac:dyDescent="0.25">
      <c r="A4" t="s">
        <v>5</v>
      </c>
      <c r="B4" t="s">
        <v>6</v>
      </c>
      <c r="C4" s="2">
        <v>15.8</v>
      </c>
      <c r="D4">
        <v>43</v>
      </c>
      <c r="E4">
        <v>42</v>
      </c>
      <c r="F4">
        <v>34</v>
      </c>
      <c r="G4">
        <v>55</v>
      </c>
      <c r="H4">
        <v>37</v>
      </c>
      <c r="I4" s="2">
        <f>$C4*D4</f>
        <v>679.4</v>
      </c>
      <c r="J4" s="2">
        <f>$C4*E4</f>
        <v>663.6</v>
      </c>
      <c r="K4" s="2">
        <f>$C4*F4</f>
        <v>537.20000000000005</v>
      </c>
      <c r="L4" s="2">
        <f>$C4*G4</f>
        <v>869</v>
      </c>
      <c r="M4" s="2">
        <f>$C4*H4</f>
        <v>584.6</v>
      </c>
      <c r="N4" s="3">
        <f>IF(D4&gt;40,D4-40,0)</f>
        <v>3</v>
      </c>
      <c r="O4" s="3">
        <f>IF(E4&gt;40,E4-40,0)</f>
        <v>2</v>
      </c>
      <c r="P4" s="3">
        <f t="shared" ref="P4:R18" si="5">IF(F4&gt;40,F4-40,0)</f>
        <v>0</v>
      </c>
      <c r="Q4" s="3">
        <f t="shared" si="5"/>
        <v>15</v>
      </c>
      <c r="R4" s="3">
        <f t="shared" si="5"/>
        <v>0</v>
      </c>
      <c r="S4" s="2">
        <f>0.5*$C4*N4</f>
        <v>23.700000000000003</v>
      </c>
      <c r="T4" s="2">
        <f t="shared" ref="T4:W18" si="6">0.5*$C4*O4</f>
        <v>15.8</v>
      </c>
      <c r="U4" s="2">
        <f t="shared" si="6"/>
        <v>0</v>
      </c>
      <c r="V4" s="2">
        <f t="shared" si="6"/>
        <v>118.5</v>
      </c>
      <c r="W4" s="2">
        <f t="shared" si="6"/>
        <v>0</v>
      </c>
      <c r="X4" s="2">
        <f>S4+I4</f>
        <v>703.1</v>
      </c>
      <c r="Y4" s="2">
        <f t="shared" ref="Y4:AB18" si="7">T4+J4</f>
        <v>679.4</v>
      </c>
      <c r="Z4" s="2">
        <f t="shared" si="7"/>
        <v>537.20000000000005</v>
      </c>
      <c r="AA4" s="2">
        <f t="shared" si="7"/>
        <v>987.5</v>
      </c>
      <c r="AB4" s="2">
        <f t="shared" si="7"/>
        <v>584.6</v>
      </c>
      <c r="AC4" s="4">
        <f>SUM(X4:AB4)</f>
        <v>3491.7999999999997</v>
      </c>
    </row>
    <row r="5" spans="1:29" x14ac:dyDescent="0.25">
      <c r="A5" t="s">
        <v>21</v>
      </c>
      <c r="B5" t="s">
        <v>7</v>
      </c>
      <c r="C5" s="2">
        <v>45.4</v>
      </c>
      <c r="D5">
        <v>41</v>
      </c>
      <c r="E5">
        <v>43</v>
      </c>
      <c r="F5">
        <v>36</v>
      </c>
      <c r="G5">
        <v>53</v>
      </c>
      <c r="H5">
        <v>38</v>
      </c>
      <c r="I5" s="2">
        <f t="shared" ref="I5:M18" si="8">$C5*D5</f>
        <v>1861.3999999999999</v>
      </c>
      <c r="J5" s="2">
        <f t="shared" si="8"/>
        <v>1952.2</v>
      </c>
      <c r="K5" s="2">
        <f t="shared" si="8"/>
        <v>1634.3999999999999</v>
      </c>
      <c r="L5" s="2">
        <f t="shared" si="8"/>
        <v>2406.1999999999998</v>
      </c>
      <c r="M5" s="2">
        <f t="shared" si="8"/>
        <v>1725.2</v>
      </c>
      <c r="N5" s="3">
        <f t="shared" ref="N5:O18" si="9">IF(D5&gt;40,D5-40,0)</f>
        <v>1</v>
      </c>
      <c r="O5" s="3">
        <f t="shared" si="9"/>
        <v>3</v>
      </c>
      <c r="P5" s="3">
        <f t="shared" si="5"/>
        <v>0</v>
      </c>
      <c r="Q5" s="3">
        <f t="shared" si="5"/>
        <v>13</v>
      </c>
      <c r="R5" s="3">
        <f t="shared" si="5"/>
        <v>0</v>
      </c>
      <c r="S5" s="2">
        <f t="shared" ref="S5:S18" si="10">0.5*$C5*N5</f>
        <v>22.7</v>
      </c>
      <c r="T5" s="2">
        <f t="shared" si="6"/>
        <v>68.099999999999994</v>
      </c>
      <c r="U5" s="2">
        <f t="shared" si="6"/>
        <v>0</v>
      </c>
      <c r="V5" s="2">
        <f t="shared" si="6"/>
        <v>295.09999999999997</v>
      </c>
      <c r="W5" s="2">
        <f t="shared" si="6"/>
        <v>0</v>
      </c>
      <c r="X5" s="2">
        <f t="shared" ref="X5:X18" si="11">S5+I5</f>
        <v>1884.1</v>
      </c>
      <c r="Y5" s="2">
        <f t="shared" si="7"/>
        <v>2020.3</v>
      </c>
      <c r="Z5" s="2">
        <f t="shared" si="7"/>
        <v>1634.3999999999999</v>
      </c>
      <c r="AA5" s="2">
        <f t="shared" si="7"/>
        <v>2701.2999999999997</v>
      </c>
      <c r="AB5" s="2">
        <f t="shared" si="7"/>
        <v>1725.2</v>
      </c>
      <c r="AC5" s="4">
        <f t="shared" ref="AC5:AC23" si="12">SUM(X5:AB5)</f>
        <v>9965.2999999999993</v>
      </c>
    </row>
    <row r="6" spans="1:29" x14ac:dyDescent="0.25">
      <c r="A6" t="s">
        <v>22</v>
      </c>
      <c r="B6" t="s">
        <v>8</v>
      </c>
      <c r="C6" s="2">
        <v>32.700000000000003</v>
      </c>
      <c r="D6">
        <v>35</v>
      </c>
      <c r="E6">
        <v>41</v>
      </c>
      <c r="F6">
        <v>39</v>
      </c>
      <c r="G6">
        <v>46</v>
      </c>
      <c r="H6">
        <v>39</v>
      </c>
      <c r="I6" s="2">
        <f t="shared" si="8"/>
        <v>1144.5</v>
      </c>
      <c r="J6" s="2">
        <f t="shared" si="8"/>
        <v>1340.7</v>
      </c>
      <c r="K6" s="2">
        <f t="shared" si="8"/>
        <v>1275.3000000000002</v>
      </c>
      <c r="L6" s="2">
        <f t="shared" si="8"/>
        <v>1504.2</v>
      </c>
      <c r="M6" s="2">
        <f t="shared" si="8"/>
        <v>1275.3000000000002</v>
      </c>
      <c r="N6" s="3">
        <f t="shared" si="9"/>
        <v>0</v>
      </c>
      <c r="O6" s="3">
        <f t="shared" si="9"/>
        <v>1</v>
      </c>
      <c r="P6" s="3">
        <f t="shared" si="5"/>
        <v>0</v>
      </c>
      <c r="Q6" s="3">
        <f t="shared" si="5"/>
        <v>6</v>
      </c>
      <c r="R6" s="3">
        <f t="shared" si="5"/>
        <v>0</v>
      </c>
      <c r="S6" s="2">
        <f t="shared" si="10"/>
        <v>0</v>
      </c>
      <c r="T6" s="2">
        <f t="shared" si="6"/>
        <v>16.350000000000001</v>
      </c>
      <c r="U6" s="2">
        <f t="shared" si="6"/>
        <v>0</v>
      </c>
      <c r="V6" s="2">
        <f t="shared" si="6"/>
        <v>98.100000000000009</v>
      </c>
      <c r="W6" s="2">
        <f t="shared" si="6"/>
        <v>0</v>
      </c>
      <c r="X6" s="2">
        <f t="shared" si="11"/>
        <v>1144.5</v>
      </c>
      <c r="Y6" s="2">
        <f t="shared" si="7"/>
        <v>1357.05</v>
      </c>
      <c r="Z6" s="2">
        <f t="shared" si="7"/>
        <v>1275.3000000000002</v>
      </c>
      <c r="AA6" s="2">
        <f t="shared" si="7"/>
        <v>1602.3</v>
      </c>
      <c r="AB6" s="2">
        <f t="shared" si="7"/>
        <v>1275.3000000000002</v>
      </c>
      <c r="AC6" s="4">
        <f t="shared" si="12"/>
        <v>6654.4500000000007</v>
      </c>
    </row>
    <row r="7" spans="1:29" x14ac:dyDescent="0.25">
      <c r="A7" t="s">
        <v>23</v>
      </c>
      <c r="B7" t="s">
        <v>9</v>
      </c>
      <c r="C7" s="2">
        <v>34.799999999999997</v>
      </c>
      <c r="D7">
        <v>37</v>
      </c>
      <c r="E7">
        <v>34</v>
      </c>
      <c r="F7">
        <v>30</v>
      </c>
      <c r="G7">
        <v>48</v>
      </c>
      <c r="H7">
        <v>42</v>
      </c>
      <c r="I7" s="2">
        <f t="shared" si="8"/>
        <v>1287.5999999999999</v>
      </c>
      <c r="J7" s="2">
        <f t="shared" si="8"/>
        <v>1183.1999999999998</v>
      </c>
      <c r="K7" s="2">
        <f t="shared" si="8"/>
        <v>1044</v>
      </c>
      <c r="L7" s="2">
        <f t="shared" si="8"/>
        <v>1670.3999999999999</v>
      </c>
      <c r="M7" s="2">
        <f t="shared" si="8"/>
        <v>1461.6</v>
      </c>
      <c r="N7" s="3">
        <f t="shared" si="9"/>
        <v>0</v>
      </c>
      <c r="O7" s="3">
        <f t="shared" si="9"/>
        <v>0</v>
      </c>
      <c r="P7" s="3">
        <f t="shared" si="5"/>
        <v>0</v>
      </c>
      <c r="Q7" s="3">
        <f t="shared" si="5"/>
        <v>8</v>
      </c>
      <c r="R7" s="3">
        <f t="shared" si="5"/>
        <v>2</v>
      </c>
      <c r="S7" s="2">
        <f t="shared" si="10"/>
        <v>0</v>
      </c>
      <c r="T7" s="2">
        <f t="shared" si="6"/>
        <v>0</v>
      </c>
      <c r="U7" s="2">
        <f t="shared" si="6"/>
        <v>0</v>
      </c>
      <c r="V7" s="2">
        <f t="shared" si="6"/>
        <v>139.19999999999999</v>
      </c>
      <c r="W7" s="2">
        <f t="shared" si="6"/>
        <v>34.799999999999997</v>
      </c>
      <c r="X7" s="2">
        <f t="shared" si="11"/>
        <v>1287.5999999999999</v>
      </c>
      <c r="Y7" s="2">
        <f t="shared" si="7"/>
        <v>1183.1999999999998</v>
      </c>
      <c r="Z7" s="2">
        <f t="shared" si="7"/>
        <v>1044</v>
      </c>
      <c r="AA7" s="2">
        <f t="shared" si="7"/>
        <v>1809.6</v>
      </c>
      <c r="AB7" s="2">
        <f t="shared" si="7"/>
        <v>1496.3999999999999</v>
      </c>
      <c r="AC7" s="4">
        <f t="shared" si="12"/>
        <v>6820.7999999999993</v>
      </c>
    </row>
    <row r="8" spans="1:29" x14ac:dyDescent="0.25">
      <c r="A8" t="s">
        <v>24</v>
      </c>
      <c r="B8" t="s">
        <v>10</v>
      </c>
      <c r="C8" s="2">
        <v>23</v>
      </c>
      <c r="D8">
        <v>39</v>
      </c>
      <c r="E8">
        <v>38</v>
      </c>
      <c r="F8">
        <v>31</v>
      </c>
      <c r="G8">
        <v>32</v>
      </c>
      <c r="H8">
        <v>40</v>
      </c>
      <c r="I8" s="2">
        <f t="shared" si="8"/>
        <v>897</v>
      </c>
      <c r="J8" s="2">
        <f t="shared" si="8"/>
        <v>874</v>
      </c>
      <c r="K8" s="2">
        <f t="shared" si="8"/>
        <v>713</v>
      </c>
      <c r="L8" s="2">
        <f t="shared" si="8"/>
        <v>736</v>
      </c>
      <c r="M8" s="2">
        <f t="shared" si="8"/>
        <v>920</v>
      </c>
      <c r="N8" s="3">
        <f t="shared" si="9"/>
        <v>0</v>
      </c>
      <c r="O8" s="3">
        <f t="shared" si="9"/>
        <v>0</v>
      </c>
      <c r="P8" s="3">
        <f t="shared" si="5"/>
        <v>0</v>
      </c>
      <c r="Q8" s="3">
        <f t="shared" si="5"/>
        <v>0</v>
      </c>
      <c r="R8" s="3">
        <f t="shared" si="5"/>
        <v>0</v>
      </c>
      <c r="S8" s="2">
        <f t="shared" si="10"/>
        <v>0</v>
      </c>
      <c r="T8" s="2">
        <f t="shared" si="6"/>
        <v>0</v>
      </c>
      <c r="U8" s="2">
        <f t="shared" si="6"/>
        <v>0</v>
      </c>
      <c r="V8" s="2">
        <f t="shared" si="6"/>
        <v>0</v>
      </c>
      <c r="W8" s="2">
        <f t="shared" si="6"/>
        <v>0</v>
      </c>
      <c r="X8" s="2">
        <f t="shared" si="11"/>
        <v>897</v>
      </c>
      <c r="Y8" s="2">
        <f t="shared" si="7"/>
        <v>874</v>
      </c>
      <c r="Z8" s="2">
        <f t="shared" si="7"/>
        <v>713</v>
      </c>
      <c r="AA8" s="2">
        <f t="shared" si="7"/>
        <v>736</v>
      </c>
      <c r="AB8" s="2">
        <f t="shared" si="7"/>
        <v>920</v>
      </c>
      <c r="AC8" s="4">
        <f t="shared" si="12"/>
        <v>4140</v>
      </c>
    </row>
    <row r="9" spans="1:29" x14ac:dyDescent="0.25">
      <c r="A9" t="s">
        <v>25</v>
      </c>
      <c r="B9" t="s">
        <v>11</v>
      </c>
      <c r="C9" s="2">
        <v>16</v>
      </c>
      <c r="D9">
        <v>32</v>
      </c>
      <c r="E9">
        <v>36</v>
      </c>
      <c r="F9">
        <v>43</v>
      </c>
      <c r="G9">
        <v>48</v>
      </c>
      <c r="H9">
        <v>59</v>
      </c>
      <c r="I9" s="2">
        <f t="shared" si="8"/>
        <v>512</v>
      </c>
      <c r="J9" s="2">
        <f t="shared" si="8"/>
        <v>576</v>
      </c>
      <c r="K9" s="2">
        <f t="shared" si="8"/>
        <v>688</v>
      </c>
      <c r="L9" s="2">
        <f t="shared" si="8"/>
        <v>768</v>
      </c>
      <c r="M9" s="2">
        <f t="shared" si="8"/>
        <v>944</v>
      </c>
      <c r="N9" s="3">
        <f t="shared" si="9"/>
        <v>0</v>
      </c>
      <c r="O9" s="3">
        <f t="shared" si="9"/>
        <v>0</v>
      </c>
      <c r="P9" s="3">
        <f t="shared" si="5"/>
        <v>3</v>
      </c>
      <c r="Q9" s="3">
        <f t="shared" si="5"/>
        <v>8</v>
      </c>
      <c r="R9" s="3">
        <f>IF(H9&gt;40,H9-40,0)</f>
        <v>19</v>
      </c>
      <c r="S9" s="2">
        <f t="shared" si="10"/>
        <v>0</v>
      </c>
      <c r="T9" s="2">
        <f t="shared" si="6"/>
        <v>0</v>
      </c>
      <c r="U9" s="2">
        <f t="shared" si="6"/>
        <v>24</v>
      </c>
      <c r="V9" s="2">
        <f t="shared" si="6"/>
        <v>64</v>
      </c>
      <c r="W9" s="2">
        <f t="shared" si="6"/>
        <v>152</v>
      </c>
      <c r="X9" s="2">
        <f t="shared" si="11"/>
        <v>512</v>
      </c>
      <c r="Y9" s="2">
        <f t="shared" si="7"/>
        <v>576</v>
      </c>
      <c r="Z9" s="2">
        <f t="shared" si="7"/>
        <v>712</v>
      </c>
      <c r="AA9" s="2">
        <f t="shared" si="7"/>
        <v>832</v>
      </c>
      <c r="AB9" s="2">
        <f t="shared" si="7"/>
        <v>1096</v>
      </c>
      <c r="AC9" s="4">
        <f t="shared" si="12"/>
        <v>3728</v>
      </c>
    </row>
    <row r="10" spans="1:29" x14ac:dyDescent="0.25">
      <c r="A10" t="s">
        <v>26</v>
      </c>
      <c r="B10" t="s">
        <v>12</v>
      </c>
      <c r="C10" s="2">
        <v>19</v>
      </c>
      <c r="D10">
        <v>49</v>
      </c>
      <c r="E10">
        <v>35</v>
      </c>
      <c r="F10">
        <v>46</v>
      </c>
      <c r="G10">
        <v>32</v>
      </c>
      <c r="H10">
        <v>37</v>
      </c>
      <c r="I10" s="2">
        <f t="shared" si="8"/>
        <v>931</v>
      </c>
      <c r="J10" s="2">
        <f t="shared" si="8"/>
        <v>665</v>
      </c>
      <c r="K10" s="2">
        <f t="shared" si="8"/>
        <v>874</v>
      </c>
      <c r="L10" s="2">
        <f t="shared" si="8"/>
        <v>608</v>
      </c>
      <c r="M10" s="2">
        <f t="shared" si="8"/>
        <v>703</v>
      </c>
      <c r="N10" s="3">
        <f t="shared" si="9"/>
        <v>9</v>
      </c>
      <c r="O10" s="3">
        <f t="shared" si="9"/>
        <v>0</v>
      </c>
      <c r="P10" s="3">
        <f t="shared" si="5"/>
        <v>6</v>
      </c>
      <c r="Q10" s="3">
        <f t="shared" si="5"/>
        <v>0</v>
      </c>
      <c r="R10" s="3">
        <f t="shared" si="5"/>
        <v>0</v>
      </c>
      <c r="S10" s="2">
        <f t="shared" si="10"/>
        <v>85.5</v>
      </c>
      <c r="T10" s="2">
        <f t="shared" si="6"/>
        <v>0</v>
      </c>
      <c r="U10" s="2">
        <f t="shared" si="6"/>
        <v>57</v>
      </c>
      <c r="V10" s="2">
        <f t="shared" si="6"/>
        <v>0</v>
      </c>
      <c r="W10" s="2">
        <f t="shared" si="6"/>
        <v>0</v>
      </c>
      <c r="X10" s="2">
        <f t="shared" si="11"/>
        <v>1016.5</v>
      </c>
      <c r="Y10" s="2">
        <f t="shared" si="7"/>
        <v>665</v>
      </c>
      <c r="Z10" s="2">
        <f t="shared" si="7"/>
        <v>931</v>
      </c>
      <c r="AA10" s="2">
        <f t="shared" si="7"/>
        <v>608</v>
      </c>
      <c r="AB10" s="2">
        <f t="shared" si="7"/>
        <v>703</v>
      </c>
      <c r="AC10" s="4">
        <f t="shared" si="12"/>
        <v>3923.5</v>
      </c>
    </row>
    <row r="11" spans="1:29" x14ac:dyDescent="0.25">
      <c r="A11" t="s">
        <v>27</v>
      </c>
      <c r="B11" t="s">
        <v>13</v>
      </c>
      <c r="C11" s="2">
        <v>34.9</v>
      </c>
      <c r="D11">
        <v>35</v>
      </c>
      <c r="E11">
        <v>39</v>
      </c>
      <c r="F11">
        <v>32</v>
      </c>
      <c r="G11">
        <v>47</v>
      </c>
      <c r="H11">
        <v>49</v>
      </c>
      <c r="I11" s="2">
        <f t="shared" si="8"/>
        <v>1221.5</v>
      </c>
      <c r="J11" s="2">
        <f t="shared" si="8"/>
        <v>1361.1</v>
      </c>
      <c r="K11" s="2">
        <f t="shared" si="8"/>
        <v>1116.8</v>
      </c>
      <c r="L11" s="2">
        <f t="shared" si="8"/>
        <v>1640.3</v>
      </c>
      <c r="M11" s="2">
        <f t="shared" si="8"/>
        <v>1710.1</v>
      </c>
      <c r="N11" s="3">
        <f t="shared" si="9"/>
        <v>0</v>
      </c>
      <c r="O11" s="3">
        <f t="shared" si="9"/>
        <v>0</v>
      </c>
      <c r="P11" s="3">
        <f t="shared" si="5"/>
        <v>0</v>
      </c>
      <c r="Q11" s="3">
        <f t="shared" si="5"/>
        <v>7</v>
      </c>
      <c r="R11" s="3">
        <f t="shared" si="5"/>
        <v>9</v>
      </c>
      <c r="S11" s="2">
        <f t="shared" si="10"/>
        <v>0</v>
      </c>
      <c r="T11" s="2">
        <f t="shared" si="6"/>
        <v>0</v>
      </c>
      <c r="U11" s="2">
        <f t="shared" si="6"/>
        <v>0</v>
      </c>
      <c r="V11" s="2">
        <f t="shared" si="6"/>
        <v>122.14999999999999</v>
      </c>
      <c r="W11" s="2">
        <f t="shared" si="6"/>
        <v>157.04999999999998</v>
      </c>
      <c r="X11" s="2">
        <f t="shared" si="11"/>
        <v>1221.5</v>
      </c>
      <c r="Y11" s="2">
        <f t="shared" si="7"/>
        <v>1361.1</v>
      </c>
      <c r="Z11" s="2">
        <f t="shared" si="7"/>
        <v>1116.8</v>
      </c>
      <c r="AA11" s="2">
        <f t="shared" si="7"/>
        <v>1762.45</v>
      </c>
      <c r="AB11" s="2">
        <f t="shared" si="7"/>
        <v>1867.1499999999999</v>
      </c>
      <c r="AC11" s="4">
        <f t="shared" si="12"/>
        <v>7328.9999999999991</v>
      </c>
    </row>
    <row r="12" spans="1:29" x14ac:dyDescent="0.25">
      <c r="A12" t="s">
        <v>28</v>
      </c>
      <c r="B12" t="s">
        <v>14</v>
      </c>
      <c r="C12" s="2">
        <v>43.8</v>
      </c>
      <c r="D12">
        <v>37</v>
      </c>
      <c r="E12">
        <v>49</v>
      </c>
      <c r="F12">
        <v>47</v>
      </c>
      <c r="G12">
        <v>43</v>
      </c>
      <c r="H12">
        <v>40</v>
      </c>
      <c r="I12" s="2">
        <f t="shared" si="8"/>
        <v>1620.6</v>
      </c>
      <c r="J12" s="2">
        <f t="shared" si="8"/>
        <v>2146.1999999999998</v>
      </c>
      <c r="K12" s="2">
        <f t="shared" si="8"/>
        <v>2058.6</v>
      </c>
      <c r="L12" s="2">
        <f t="shared" si="8"/>
        <v>1883.3999999999999</v>
      </c>
      <c r="M12" s="2">
        <f t="shared" si="8"/>
        <v>1752</v>
      </c>
      <c r="N12" s="3">
        <f t="shared" si="9"/>
        <v>0</v>
      </c>
      <c r="O12" s="3">
        <f t="shared" si="9"/>
        <v>9</v>
      </c>
      <c r="P12" s="3">
        <f t="shared" si="5"/>
        <v>7</v>
      </c>
      <c r="Q12" s="3">
        <f t="shared" si="5"/>
        <v>3</v>
      </c>
      <c r="R12" s="3">
        <f t="shared" si="5"/>
        <v>0</v>
      </c>
      <c r="S12" s="2">
        <f t="shared" si="10"/>
        <v>0</v>
      </c>
      <c r="T12" s="2">
        <f t="shared" si="6"/>
        <v>197.1</v>
      </c>
      <c r="U12" s="2">
        <f t="shared" si="6"/>
        <v>153.29999999999998</v>
      </c>
      <c r="V12" s="2">
        <f t="shared" si="6"/>
        <v>65.699999999999989</v>
      </c>
      <c r="W12" s="2">
        <f t="shared" si="6"/>
        <v>0</v>
      </c>
      <c r="X12" s="2">
        <f t="shared" si="11"/>
        <v>1620.6</v>
      </c>
      <c r="Y12" s="2">
        <f t="shared" si="7"/>
        <v>2343.2999999999997</v>
      </c>
      <c r="Z12" s="2">
        <f t="shared" si="7"/>
        <v>2211.9</v>
      </c>
      <c r="AA12" s="2">
        <f t="shared" si="7"/>
        <v>1949.1</v>
      </c>
      <c r="AB12" s="2">
        <f t="shared" si="7"/>
        <v>1752</v>
      </c>
      <c r="AC12" s="4">
        <f t="shared" si="12"/>
        <v>9876.9</v>
      </c>
    </row>
    <row r="13" spans="1:29" x14ac:dyDescent="0.25">
      <c r="A13" t="s">
        <v>29</v>
      </c>
      <c r="B13" t="s">
        <v>15</v>
      </c>
      <c r="C13" s="2">
        <v>37.9</v>
      </c>
      <c r="D13">
        <v>39</v>
      </c>
      <c r="E13">
        <v>43</v>
      </c>
      <c r="F13">
        <v>54</v>
      </c>
      <c r="G13">
        <v>37</v>
      </c>
      <c r="H13">
        <v>50</v>
      </c>
      <c r="I13" s="2">
        <f t="shared" si="8"/>
        <v>1478.1</v>
      </c>
      <c r="J13" s="2">
        <f t="shared" si="8"/>
        <v>1629.7</v>
      </c>
      <c r="K13" s="2">
        <f t="shared" si="8"/>
        <v>2046.6</v>
      </c>
      <c r="L13" s="2">
        <f t="shared" si="8"/>
        <v>1402.3</v>
      </c>
      <c r="M13" s="2">
        <f t="shared" si="8"/>
        <v>1895</v>
      </c>
      <c r="N13" s="3">
        <f t="shared" si="9"/>
        <v>0</v>
      </c>
      <c r="O13" s="3">
        <f t="shared" si="9"/>
        <v>3</v>
      </c>
      <c r="P13" s="3">
        <f t="shared" si="5"/>
        <v>14</v>
      </c>
      <c r="Q13" s="3">
        <f t="shared" si="5"/>
        <v>0</v>
      </c>
      <c r="R13" s="3">
        <f t="shared" si="5"/>
        <v>10</v>
      </c>
      <c r="S13" s="2">
        <f t="shared" si="10"/>
        <v>0</v>
      </c>
      <c r="T13" s="2">
        <f t="shared" si="6"/>
        <v>56.849999999999994</v>
      </c>
      <c r="U13" s="2">
        <f t="shared" si="6"/>
        <v>265.3</v>
      </c>
      <c r="V13" s="2">
        <f t="shared" si="6"/>
        <v>0</v>
      </c>
      <c r="W13" s="2">
        <f t="shared" si="6"/>
        <v>189.5</v>
      </c>
      <c r="X13" s="2">
        <f t="shared" si="11"/>
        <v>1478.1</v>
      </c>
      <c r="Y13" s="2">
        <f t="shared" si="7"/>
        <v>1686.55</v>
      </c>
      <c r="Z13" s="2">
        <f t="shared" si="7"/>
        <v>2311.9</v>
      </c>
      <c r="AA13" s="2">
        <f t="shared" si="7"/>
        <v>1402.3</v>
      </c>
      <c r="AB13" s="2">
        <f t="shared" si="7"/>
        <v>2084.5</v>
      </c>
      <c r="AC13" s="4">
        <f t="shared" si="12"/>
        <v>8963.3499999999985</v>
      </c>
    </row>
    <row r="14" spans="1:29" x14ac:dyDescent="0.25">
      <c r="A14" t="s">
        <v>30</v>
      </c>
      <c r="B14" t="s">
        <v>16</v>
      </c>
      <c r="C14" s="2">
        <v>29.5</v>
      </c>
      <c r="D14">
        <v>40</v>
      </c>
      <c r="E14">
        <v>46</v>
      </c>
      <c r="F14">
        <v>51</v>
      </c>
      <c r="G14">
        <v>30</v>
      </c>
      <c r="H14">
        <v>45</v>
      </c>
      <c r="I14" s="2">
        <f t="shared" si="8"/>
        <v>1180</v>
      </c>
      <c r="J14" s="2">
        <f t="shared" si="8"/>
        <v>1357</v>
      </c>
      <c r="K14" s="2">
        <f t="shared" si="8"/>
        <v>1504.5</v>
      </c>
      <c r="L14" s="2">
        <f t="shared" si="8"/>
        <v>885</v>
      </c>
      <c r="M14" s="2">
        <f t="shared" si="8"/>
        <v>1327.5</v>
      </c>
      <c r="N14" s="3">
        <f t="shared" si="9"/>
        <v>0</v>
      </c>
      <c r="O14" s="3">
        <f t="shared" si="9"/>
        <v>6</v>
      </c>
      <c r="P14" s="3">
        <f t="shared" si="5"/>
        <v>11</v>
      </c>
      <c r="Q14" s="3">
        <f t="shared" si="5"/>
        <v>0</v>
      </c>
      <c r="R14" s="3">
        <f t="shared" si="5"/>
        <v>5</v>
      </c>
      <c r="S14" s="2">
        <f t="shared" si="10"/>
        <v>0</v>
      </c>
      <c r="T14" s="2">
        <f t="shared" si="6"/>
        <v>88.5</v>
      </c>
      <c r="U14" s="2">
        <f t="shared" si="6"/>
        <v>162.25</v>
      </c>
      <c r="V14" s="2">
        <f t="shared" si="6"/>
        <v>0</v>
      </c>
      <c r="W14" s="2">
        <f t="shared" si="6"/>
        <v>73.75</v>
      </c>
      <c r="X14" s="2">
        <f t="shared" si="11"/>
        <v>1180</v>
      </c>
      <c r="Y14" s="2">
        <f t="shared" si="7"/>
        <v>1445.5</v>
      </c>
      <c r="Z14" s="2">
        <f t="shared" si="7"/>
        <v>1666.75</v>
      </c>
      <c r="AA14" s="2">
        <f t="shared" si="7"/>
        <v>885</v>
      </c>
      <c r="AB14" s="2">
        <f t="shared" si="7"/>
        <v>1401.25</v>
      </c>
      <c r="AC14" s="4">
        <f t="shared" si="12"/>
        <v>6578.5</v>
      </c>
    </row>
    <row r="15" spans="1:29" x14ac:dyDescent="0.25">
      <c r="A15" t="s">
        <v>31</v>
      </c>
      <c r="B15" t="s">
        <v>17</v>
      </c>
      <c r="C15" s="2">
        <v>20</v>
      </c>
      <c r="D15">
        <v>44</v>
      </c>
      <c r="E15">
        <v>29</v>
      </c>
      <c r="F15">
        <v>58</v>
      </c>
      <c r="G15">
        <v>29</v>
      </c>
      <c r="H15">
        <v>37</v>
      </c>
      <c r="I15" s="2">
        <f t="shared" si="8"/>
        <v>880</v>
      </c>
      <c r="J15" s="2">
        <f t="shared" si="8"/>
        <v>580</v>
      </c>
      <c r="K15" s="2">
        <f t="shared" si="8"/>
        <v>1160</v>
      </c>
      <c r="L15" s="2">
        <f t="shared" si="8"/>
        <v>580</v>
      </c>
      <c r="M15" s="2">
        <f t="shared" si="8"/>
        <v>740</v>
      </c>
      <c r="N15" s="3">
        <f t="shared" si="9"/>
        <v>4</v>
      </c>
      <c r="O15" s="3">
        <f t="shared" si="9"/>
        <v>0</v>
      </c>
      <c r="P15" s="3">
        <f t="shared" si="5"/>
        <v>18</v>
      </c>
      <c r="Q15" s="3">
        <f t="shared" si="5"/>
        <v>0</v>
      </c>
      <c r="R15" s="3">
        <f t="shared" si="5"/>
        <v>0</v>
      </c>
      <c r="S15" s="2">
        <f t="shared" si="10"/>
        <v>40</v>
      </c>
      <c r="T15" s="2">
        <f t="shared" si="6"/>
        <v>0</v>
      </c>
      <c r="U15" s="2">
        <f t="shared" si="6"/>
        <v>180</v>
      </c>
      <c r="V15" s="2">
        <f t="shared" si="6"/>
        <v>0</v>
      </c>
      <c r="W15" s="2">
        <f t="shared" si="6"/>
        <v>0</v>
      </c>
      <c r="X15" s="2">
        <f t="shared" si="11"/>
        <v>920</v>
      </c>
      <c r="Y15" s="2">
        <f t="shared" si="7"/>
        <v>580</v>
      </c>
      <c r="Z15" s="2">
        <f t="shared" si="7"/>
        <v>1340</v>
      </c>
      <c r="AA15" s="2">
        <f t="shared" si="7"/>
        <v>580</v>
      </c>
      <c r="AB15" s="2">
        <f t="shared" si="7"/>
        <v>740</v>
      </c>
      <c r="AC15" s="4">
        <f t="shared" si="12"/>
        <v>4160</v>
      </c>
    </row>
    <row r="16" spans="1:29" x14ac:dyDescent="0.25">
      <c r="A16" t="s">
        <v>32</v>
      </c>
      <c r="B16" t="s">
        <v>18</v>
      </c>
      <c r="C16" s="2">
        <v>21.5</v>
      </c>
      <c r="D16">
        <v>45</v>
      </c>
      <c r="E16">
        <v>30</v>
      </c>
      <c r="F16">
        <v>47</v>
      </c>
      <c r="G16">
        <v>31</v>
      </c>
      <c r="H16">
        <v>39</v>
      </c>
      <c r="I16" s="2">
        <f t="shared" si="8"/>
        <v>967.5</v>
      </c>
      <c r="J16" s="2">
        <f t="shared" si="8"/>
        <v>645</v>
      </c>
      <c r="K16" s="2">
        <f t="shared" si="8"/>
        <v>1010.5</v>
      </c>
      <c r="L16" s="2">
        <f t="shared" si="8"/>
        <v>666.5</v>
      </c>
      <c r="M16" s="2">
        <f t="shared" si="8"/>
        <v>838.5</v>
      </c>
      <c r="N16" s="3">
        <f t="shared" si="9"/>
        <v>5</v>
      </c>
      <c r="O16" s="3">
        <f t="shared" si="9"/>
        <v>0</v>
      </c>
      <c r="P16" s="3">
        <f t="shared" si="5"/>
        <v>7</v>
      </c>
      <c r="Q16" s="3">
        <f t="shared" si="5"/>
        <v>0</v>
      </c>
      <c r="R16" s="3">
        <f t="shared" si="5"/>
        <v>0</v>
      </c>
      <c r="S16" s="2">
        <f t="shared" si="10"/>
        <v>53.75</v>
      </c>
      <c r="T16" s="2">
        <f t="shared" si="6"/>
        <v>0</v>
      </c>
      <c r="U16" s="2">
        <f t="shared" si="6"/>
        <v>75.25</v>
      </c>
      <c r="V16" s="2">
        <f t="shared" si="6"/>
        <v>0</v>
      </c>
      <c r="W16" s="2">
        <f t="shared" si="6"/>
        <v>0</v>
      </c>
      <c r="X16" s="2">
        <f t="shared" si="11"/>
        <v>1021.25</v>
      </c>
      <c r="Y16" s="2">
        <f t="shared" si="7"/>
        <v>645</v>
      </c>
      <c r="Z16" s="2">
        <f t="shared" si="7"/>
        <v>1085.75</v>
      </c>
      <c r="AA16" s="2">
        <f t="shared" si="7"/>
        <v>666.5</v>
      </c>
      <c r="AB16" s="2">
        <f t="shared" si="7"/>
        <v>838.5</v>
      </c>
      <c r="AC16" s="4">
        <f t="shared" si="12"/>
        <v>4257</v>
      </c>
    </row>
    <row r="17" spans="1:29" x14ac:dyDescent="0.25">
      <c r="A17" t="s">
        <v>33</v>
      </c>
      <c r="B17" t="s">
        <v>19</v>
      </c>
      <c r="C17" s="2">
        <v>23.9</v>
      </c>
      <c r="D17">
        <v>48</v>
      </c>
      <c r="E17">
        <v>32</v>
      </c>
      <c r="F17">
        <v>32</v>
      </c>
      <c r="G17">
        <v>39</v>
      </c>
      <c r="H17">
        <v>42</v>
      </c>
      <c r="I17" s="2">
        <f t="shared" si="8"/>
        <v>1147.1999999999998</v>
      </c>
      <c r="J17" s="2">
        <f t="shared" si="8"/>
        <v>764.8</v>
      </c>
      <c r="K17" s="2">
        <f t="shared" si="8"/>
        <v>764.8</v>
      </c>
      <c r="L17" s="2">
        <f t="shared" si="8"/>
        <v>932.09999999999991</v>
      </c>
      <c r="M17" s="2">
        <f t="shared" si="8"/>
        <v>1003.8</v>
      </c>
      <c r="N17" s="3">
        <f t="shared" si="9"/>
        <v>8</v>
      </c>
      <c r="O17" s="3">
        <f t="shared" si="9"/>
        <v>0</v>
      </c>
      <c r="P17" s="3">
        <f t="shared" si="5"/>
        <v>0</v>
      </c>
      <c r="Q17" s="3">
        <f t="shared" si="5"/>
        <v>0</v>
      </c>
      <c r="R17" s="3">
        <f t="shared" si="5"/>
        <v>2</v>
      </c>
      <c r="S17" s="2">
        <f t="shared" si="10"/>
        <v>95.6</v>
      </c>
      <c r="T17" s="2">
        <f t="shared" si="6"/>
        <v>0</v>
      </c>
      <c r="U17" s="2">
        <f t="shared" si="6"/>
        <v>0</v>
      </c>
      <c r="V17" s="2">
        <f t="shared" si="6"/>
        <v>0</v>
      </c>
      <c r="W17" s="2">
        <f t="shared" si="6"/>
        <v>23.9</v>
      </c>
      <c r="X17" s="2">
        <f t="shared" si="11"/>
        <v>1242.7999999999997</v>
      </c>
      <c r="Y17" s="2">
        <f t="shared" si="7"/>
        <v>764.8</v>
      </c>
      <c r="Z17" s="2">
        <f t="shared" si="7"/>
        <v>764.8</v>
      </c>
      <c r="AA17" s="2">
        <f t="shared" si="7"/>
        <v>932.09999999999991</v>
      </c>
      <c r="AB17" s="2">
        <f t="shared" si="7"/>
        <v>1027.7</v>
      </c>
      <c r="AC17" s="4">
        <f t="shared" si="12"/>
        <v>4732.2</v>
      </c>
    </row>
    <row r="18" spans="1:29" x14ac:dyDescent="0.25">
      <c r="A18" t="s">
        <v>34</v>
      </c>
      <c r="B18" t="s">
        <v>20</v>
      </c>
      <c r="C18" s="2">
        <v>30.5</v>
      </c>
      <c r="D18">
        <v>40</v>
      </c>
      <c r="E18">
        <v>47</v>
      </c>
      <c r="F18">
        <v>48</v>
      </c>
      <c r="G18">
        <v>45</v>
      </c>
      <c r="H18">
        <v>38</v>
      </c>
      <c r="I18" s="2">
        <f t="shared" si="8"/>
        <v>1220</v>
      </c>
      <c r="J18" s="2">
        <f t="shared" si="8"/>
        <v>1433.5</v>
      </c>
      <c r="K18" s="2">
        <f t="shared" si="8"/>
        <v>1464</v>
      </c>
      <c r="L18" s="2">
        <f t="shared" si="8"/>
        <v>1372.5</v>
      </c>
      <c r="M18" s="2">
        <f t="shared" si="8"/>
        <v>1159</v>
      </c>
      <c r="N18" s="3">
        <f t="shared" si="9"/>
        <v>0</v>
      </c>
      <c r="O18" s="3">
        <f t="shared" si="9"/>
        <v>7</v>
      </c>
      <c r="P18" s="3">
        <f t="shared" si="5"/>
        <v>8</v>
      </c>
      <c r="Q18" s="3">
        <f t="shared" si="5"/>
        <v>5</v>
      </c>
      <c r="R18" s="3">
        <f t="shared" si="5"/>
        <v>0</v>
      </c>
      <c r="S18" s="2">
        <f t="shared" si="10"/>
        <v>0</v>
      </c>
      <c r="T18" s="2">
        <f t="shared" si="6"/>
        <v>106.75</v>
      </c>
      <c r="U18" s="2">
        <f t="shared" si="6"/>
        <v>122</v>
      </c>
      <c r="V18" s="2">
        <f t="shared" si="6"/>
        <v>76.25</v>
      </c>
      <c r="W18" s="2">
        <f t="shared" si="6"/>
        <v>0</v>
      </c>
      <c r="X18" s="2">
        <f t="shared" si="11"/>
        <v>1220</v>
      </c>
      <c r="Y18" s="2">
        <f t="shared" si="7"/>
        <v>1540.25</v>
      </c>
      <c r="Z18" s="2">
        <f t="shared" si="7"/>
        <v>1586</v>
      </c>
      <c r="AA18" s="2">
        <f t="shared" si="7"/>
        <v>1448.75</v>
      </c>
      <c r="AB18" s="2">
        <f t="shared" si="7"/>
        <v>1159</v>
      </c>
      <c r="AC18" s="4">
        <f t="shared" si="12"/>
        <v>6954</v>
      </c>
    </row>
    <row r="19" spans="1:29" x14ac:dyDescent="0.25">
      <c r="AC19" s="4"/>
    </row>
    <row r="20" spans="1:29" x14ac:dyDescent="0.25">
      <c r="AC20" s="4"/>
    </row>
    <row r="21" spans="1:29" x14ac:dyDescent="0.25">
      <c r="A21" t="s">
        <v>39</v>
      </c>
      <c r="C21" s="4">
        <f>MAX(C4:C18)</f>
        <v>45.4</v>
      </c>
      <c r="D21" s="6">
        <f>MAX(D4:D18)</f>
        <v>49</v>
      </c>
      <c r="E21" s="6">
        <f t="shared" ref="E21:AA21" si="13">MAX(E4:E18)</f>
        <v>49</v>
      </c>
      <c r="F21" s="6">
        <f t="shared" si="13"/>
        <v>58</v>
      </c>
      <c r="G21" s="6">
        <f t="shared" si="13"/>
        <v>55</v>
      </c>
      <c r="H21" s="6">
        <f t="shared" si="13"/>
        <v>59</v>
      </c>
      <c r="I21" s="2">
        <f t="shared" si="13"/>
        <v>1861.3999999999999</v>
      </c>
      <c r="J21" s="2">
        <f t="shared" si="13"/>
        <v>2146.1999999999998</v>
      </c>
      <c r="K21" s="2">
        <f t="shared" si="13"/>
        <v>2058.6</v>
      </c>
      <c r="L21" s="2">
        <f t="shared" si="13"/>
        <v>2406.1999999999998</v>
      </c>
      <c r="M21" s="2">
        <f t="shared" si="13"/>
        <v>1895</v>
      </c>
      <c r="N21" s="6">
        <f t="shared" si="13"/>
        <v>9</v>
      </c>
      <c r="O21" s="6">
        <f t="shared" si="13"/>
        <v>9</v>
      </c>
      <c r="P21" s="6">
        <f t="shared" si="13"/>
        <v>18</v>
      </c>
      <c r="Q21" s="6">
        <f t="shared" si="13"/>
        <v>15</v>
      </c>
      <c r="R21" s="6">
        <f t="shared" si="13"/>
        <v>19</v>
      </c>
      <c r="S21" s="2">
        <f t="shared" si="13"/>
        <v>95.6</v>
      </c>
      <c r="T21" s="2">
        <f t="shared" si="13"/>
        <v>197.1</v>
      </c>
      <c r="U21" s="2">
        <f t="shared" si="13"/>
        <v>265.3</v>
      </c>
      <c r="V21" s="2">
        <f t="shared" si="13"/>
        <v>295.09999999999997</v>
      </c>
      <c r="W21" s="2">
        <f t="shared" si="13"/>
        <v>189.5</v>
      </c>
      <c r="X21" s="2">
        <f t="shared" si="13"/>
        <v>1884.1</v>
      </c>
      <c r="Y21" s="2">
        <f t="shared" si="13"/>
        <v>2343.2999999999997</v>
      </c>
      <c r="Z21" s="2">
        <f t="shared" si="13"/>
        <v>2311.9</v>
      </c>
      <c r="AA21" s="2">
        <f t="shared" si="13"/>
        <v>2701.2999999999997</v>
      </c>
      <c r="AB21" s="2">
        <f>MAX(AB4:AB18)</f>
        <v>2084.5</v>
      </c>
      <c r="AC21" s="2">
        <f>MAX(AC4:AC18)</f>
        <v>9965.2999999999993</v>
      </c>
    </row>
    <row r="22" spans="1:29" x14ac:dyDescent="0.25">
      <c r="A22" t="s">
        <v>40</v>
      </c>
      <c r="C22" s="4">
        <f>MIN(C4:C18)</f>
        <v>15.8</v>
      </c>
      <c r="D22" s="6">
        <f>MIN(D4:D18)</f>
        <v>32</v>
      </c>
      <c r="E22" s="6">
        <f t="shared" ref="E22:AB22" si="14">MIN(E4:E18)</f>
        <v>29</v>
      </c>
      <c r="F22" s="6">
        <f t="shared" si="14"/>
        <v>30</v>
      </c>
      <c r="G22" s="6">
        <f t="shared" si="14"/>
        <v>29</v>
      </c>
      <c r="H22" s="6">
        <f t="shared" si="14"/>
        <v>37</v>
      </c>
      <c r="I22" s="2">
        <f t="shared" si="14"/>
        <v>512</v>
      </c>
      <c r="J22" s="2">
        <f t="shared" si="14"/>
        <v>576</v>
      </c>
      <c r="K22" s="2">
        <f t="shared" si="14"/>
        <v>537.20000000000005</v>
      </c>
      <c r="L22" s="2">
        <f t="shared" si="14"/>
        <v>580</v>
      </c>
      <c r="M22" s="2">
        <f t="shared" si="14"/>
        <v>584.6</v>
      </c>
      <c r="N22" s="6">
        <f t="shared" si="14"/>
        <v>0</v>
      </c>
      <c r="O22" s="6">
        <f t="shared" si="14"/>
        <v>0</v>
      </c>
      <c r="P22" s="6">
        <f t="shared" si="14"/>
        <v>0</v>
      </c>
      <c r="Q22" s="6">
        <f t="shared" si="14"/>
        <v>0</v>
      </c>
      <c r="R22" s="6">
        <f t="shared" si="14"/>
        <v>0</v>
      </c>
      <c r="S22" s="2">
        <f t="shared" si="14"/>
        <v>0</v>
      </c>
      <c r="T22" s="2">
        <f t="shared" si="14"/>
        <v>0</v>
      </c>
      <c r="U22" s="2">
        <f t="shared" si="14"/>
        <v>0</v>
      </c>
      <c r="V22" s="2">
        <f t="shared" si="14"/>
        <v>0</v>
      </c>
      <c r="W22" s="2">
        <f t="shared" si="14"/>
        <v>0</v>
      </c>
      <c r="X22" s="2">
        <f t="shared" si="14"/>
        <v>512</v>
      </c>
      <c r="Y22" s="2">
        <f t="shared" si="14"/>
        <v>576</v>
      </c>
      <c r="Z22" s="2">
        <f t="shared" si="14"/>
        <v>537.20000000000005</v>
      </c>
      <c r="AA22" s="2">
        <f t="shared" si="14"/>
        <v>580</v>
      </c>
      <c r="AB22" s="2">
        <f t="shared" si="14"/>
        <v>584.6</v>
      </c>
      <c r="AC22" s="4">
        <f t="shared" si="12"/>
        <v>2789.7999999999997</v>
      </c>
    </row>
    <row r="23" spans="1:29" x14ac:dyDescent="0.25">
      <c r="A23" t="s">
        <v>41</v>
      </c>
      <c r="C23" s="4">
        <f>AVERAGE(C4:C18)</f>
        <v>28.579999999999995</v>
      </c>
      <c r="D23" s="6">
        <f>AVERAGE(D4:D18)</f>
        <v>40.266666666666666</v>
      </c>
      <c r="E23" s="6">
        <f t="shared" ref="E23:AB23" si="15">AVERAGE(E4:E18)</f>
        <v>38.93333333333333</v>
      </c>
      <c r="F23" s="6">
        <f t="shared" si="15"/>
        <v>41.866666666666667</v>
      </c>
      <c r="G23" s="6">
        <f t="shared" si="15"/>
        <v>41</v>
      </c>
      <c r="H23" s="6">
        <f t="shared" si="15"/>
        <v>42.133333333333333</v>
      </c>
      <c r="I23" s="2">
        <f t="shared" si="15"/>
        <v>1135.1866666666667</v>
      </c>
      <c r="J23" s="2">
        <f t="shared" si="15"/>
        <v>1144.8</v>
      </c>
      <c r="K23" s="2">
        <f t="shared" si="15"/>
        <v>1192.78</v>
      </c>
      <c r="L23" s="2">
        <f t="shared" si="15"/>
        <v>1194.9266666666665</v>
      </c>
      <c r="M23" s="2">
        <f t="shared" si="15"/>
        <v>1202.6400000000001</v>
      </c>
      <c r="N23" s="6">
        <f t="shared" si="15"/>
        <v>2</v>
      </c>
      <c r="O23" s="6">
        <f t="shared" si="15"/>
        <v>2.0666666666666669</v>
      </c>
      <c r="P23" s="6">
        <f t="shared" si="15"/>
        <v>4.9333333333333336</v>
      </c>
      <c r="Q23" s="6">
        <f t="shared" si="15"/>
        <v>4.333333333333333</v>
      </c>
      <c r="R23" s="6">
        <f t="shared" si="15"/>
        <v>3.1333333333333333</v>
      </c>
      <c r="S23" s="2">
        <f t="shared" si="15"/>
        <v>21.416666666666668</v>
      </c>
      <c r="T23" s="2">
        <f t="shared" si="15"/>
        <v>36.630000000000003</v>
      </c>
      <c r="U23" s="2">
        <f t="shared" si="15"/>
        <v>69.273333333333326</v>
      </c>
      <c r="V23" s="2">
        <f t="shared" si="15"/>
        <v>65.266666666666666</v>
      </c>
      <c r="W23" s="2">
        <f t="shared" si="15"/>
        <v>42.06666666666667</v>
      </c>
      <c r="X23" s="2">
        <f t="shared" si="15"/>
        <v>1156.6033333333332</v>
      </c>
      <c r="Y23" s="2">
        <f t="shared" si="15"/>
        <v>1181.4299999999998</v>
      </c>
      <c r="Z23" s="2">
        <f t="shared" si="15"/>
        <v>1262.0533333333333</v>
      </c>
      <c r="AA23" s="2">
        <f t="shared" si="15"/>
        <v>1260.1933333333332</v>
      </c>
      <c r="AB23" s="2">
        <f t="shared" si="15"/>
        <v>1244.7066666666667</v>
      </c>
      <c r="AC23" s="4">
        <f t="shared" si="12"/>
        <v>6104.9866666666658</v>
      </c>
    </row>
    <row r="24" spans="1:29" x14ac:dyDescent="0.25">
      <c r="A24" t="s">
        <v>42</v>
      </c>
      <c r="C24" s="4">
        <f>SUM(C4:C18)</f>
        <v>428.69999999999993</v>
      </c>
      <c r="D24" s="3">
        <f t="shared" ref="D24:AC24" si="16">SUM(D4:D18)</f>
        <v>604</v>
      </c>
      <c r="E24" s="3">
        <f t="shared" si="16"/>
        <v>584</v>
      </c>
      <c r="F24" s="3">
        <f t="shared" si="16"/>
        <v>628</v>
      </c>
      <c r="G24" s="3">
        <f t="shared" si="16"/>
        <v>615</v>
      </c>
      <c r="H24" s="3">
        <f t="shared" si="16"/>
        <v>632</v>
      </c>
      <c r="I24" s="4">
        <f t="shared" si="16"/>
        <v>17027.8</v>
      </c>
      <c r="J24" s="4">
        <f t="shared" si="16"/>
        <v>17172</v>
      </c>
      <c r="K24" s="4">
        <f t="shared" si="16"/>
        <v>17891.7</v>
      </c>
      <c r="L24" s="4">
        <f t="shared" si="16"/>
        <v>17923.899999999998</v>
      </c>
      <c r="M24" s="4">
        <f t="shared" si="16"/>
        <v>18039.600000000002</v>
      </c>
      <c r="N24" s="5">
        <f t="shared" si="16"/>
        <v>30</v>
      </c>
      <c r="O24" s="5">
        <f t="shared" si="16"/>
        <v>31</v>
      </c>
      <c r="P24" s="5">
        <f t="shared" si="16"/>
        <v>74</v>
      </c>
      <c r="Q24" s="5">
        <f t="shared" si="16"/>
        <v>65</v>
      </c>
      <c r="R24" s="5">
        <f t="shared" si="16"/>
        <v>47</v>
      </c>
      <c r="S24" s="4">
        <f t="shared" si="16"/>
        <v>321.25</v>
      </c>
      <c r="T24" s="4">
        <f t="shared" si="16"/>
        <v>549.45000000000005</v>
      </c>
      <c r="U24" s="4">
        <f t="shared" si="16"/>
        <v>1039.0999999999999</v>
      </c>
      <c r="V24" s="4">
        <f t="shared" si="16"/>
        <v>979</v>
      </c>
      <c r="W24" s="4">
        <f t="shared" si="16"/>
        <v>631</v>
      </c>
      <c r="X24" s="4">
        <f t="shared" si="16"/>
        <v>17349.05</v>
      </c>
      <c r="Y24" s="4">
        <f t="shared" si="16"/>
        <v>17721.449999999997</v>
      </c>
      <c r="Z24" s="4">
        <f t="shared" si="16"/>
        <v>18930.8</v>
      </c>
      <c r="AA24" s="4">
        <f t="shared" si="16"/>
        <v>18902.899999999998</v>
      </c>
      <c r="AB24" s="4">
        <f t="shared" si="16"/>
        <v>18670.600000000002</v>
      </c>
      <c r="AC24" s="4">
        <f t="shared" si="16"/>
        <v>91574.8</v>
      </c>
    </row>
  </sheetData>
  <pageMargins left="1" right="1" top="1" bottom="1" header="0.5" footer="0.5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2025-06-17T04:58:34Z</cp:lastPrinted>
  <dcterms:created xsi:type="dcterms:W3CDTF">2025-06-16T04:04:12Z</dcterms:created>
  <dcterms:modified xsi:type="dcterms:W3CDTF">2025-06-17T05:00:58Z</dcterms:modified>
</cp:coreProperties>
</file>