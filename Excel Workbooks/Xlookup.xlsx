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500" firstSheet="5" activeTab="5"/>
  </bookViews>
  <sheets>
    <sheet name="XLOOKUP" sheetId="1" r:id="rId1"/>
    <sheet name="XLOOKUP(Multiple Rows)" sheetId="2" r:id="rId2"/>
    <sheet name="XLOOKUP(Matching)" sheetId="3" r:id="rId3"/>
    <sheet name="XLOOKUP(Search Order) " sheetId="4" r:id="rId4"/>
    <sheet name="XLOOKU Horizontal" sheetId="9" r:id="rId5"/>
    <sheet name="XLOOKUP with sum" sheetId="10" r:id="rId6"/>
    <sheet name="VLOOKUP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<sst xmlns="http://schemas.openxmlformats.org/spreadsheetml/2006/main" count="295" uniqueCount="65">
  <si>
    <t>CONC(Full Name)</t>
  </si>
  <si>
    <t>XLOOKUP(Email Adress)</t>
  </si>
  <si>
    <t>Employee ID</t>
  </si>
  <si>
    <t>First Name</t>
  </si>
  <si>
    <t>Last Name</t>
  </si>
  <si>
    <t>Age</t>
  </si>
  <si>
    <t>Gender</t>
  </si>
  <si>
    <t>Job Title</t>
  </si>
  <si>
    <t>Salary</t>
  </si>
  <si>
    <t>Start Date</t>
  </si>
  <si>
    <t>End Date</t>
  </si>
  <si>
    <t>CONCATENATE(fullName)</t>
  </si>
  <si>
    <t>CONC(Email Address)</t>
  </si>
  <si>
    <t>Felix</t>
  </si>
  <si>
    <t>Parker</t>
  </si>
  <si>
    <t>Male</t>
  </si>
  <si>
    <t>Salesperson</t>
  </si>
  <si>
    <t>Patience</t>
  </si>
  <si>
    <t>Williams</t>
  </si>
  <si>
    <t>Female</t>
  </si>
  <si>
    <t>Receptionist</t>
  </si>
  <si>
    <t>Amos</t>
  </si>
  <si>
    <t>Alfred</t>
  </si>
  <si>
    <t>Deborah</t>
  </si>
  <si>
    <t>Palmer</t>
  </si>
  <si>
    <t>Accountant</t>
  </si>
  <si>
    <t>Praise</t>
  </si>
  <si>
    <t>Cole</t>
  </si>
  <si>
    <t>HR</t>
  </si>
  <si>
    <t>John</t>
  </si>
  <si>
    <t>Hudson</t>
  </si>
  <si>
    <t>Regional Manager</t>
  </si>
  <si>
    <t>Peace</t>
  </si>
  <si>
    <t>Beasley</t>
  </si>
  <si>
    <t>Supplier Relations</t>
  </si>
  <si>
    <t>Martins</t>
  </si>
  <si>
    <t>MAlone</t>
  </si>
  <si>
    <t>Scott</t>
  </si>
  <si>
    <t>Halpert</t>
  </si>
  <si>
    <t>XLOOKUP(Multiple Rows)</t>
  </si>
  <si>
    <t>Columns must be consecutive</t>
  </si>
  <si>
    <t>Full Name</t>
  </si>
  <si>
    <t>Flix Parker</t>
  </si>
  <si>
    <t>Deborah Palm</t>
  </si>
  <si>
    <t>Search Order</t>
  </si>
  <si>
    <t>Entities</t>
  </si>
  <si>
    <t>XLOOKUP(February)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</si>
  <si>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</si>
  <si>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</si>
  <si>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</si>
  <si>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</si>
  <si>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</si>
  <si>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</si>
  <si>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</si>
  <si>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</si>
  <si>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</si>
  <si>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</si>
  <si>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Novrmber</t>
  </si>
  <si>
    <t>December</t>
  </si>
  <si>
    <t>Paper</t>
  </si>
  <si>
    <t>Printer</t>
  </si>
  <si>
    <t>Manila folder</t>
  </si>
  <si>
    <t>February-March</t>
  </si>
  <si>
    <t>Total</t>
  </si>
  <si>
    <t>Email(Using VLOOKUP)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</si>
</sst>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J1" workbookViewId="0">
      <selection activeCell="F1" sqref="F1:O11"/>
    </sheetView>
  </sheetViews>
  <sheetFormatPr defaultColWidth="9.14285714285714" defaultRowHeight="15"/>
  <cols>
    <col min="1" max="1" width="18" customWidth="1"/>
    <col min="2" max="2" width="29.8571428571429" customWidth="1"/>
    <col min="3" max="3" width="8.14285714285714" customWidth="1"/>
    <col min="6" max="6" width="13" customWidth="1"/>
    <col min="7" max="7" width="11.2857142857143" customWidth="1"/>
    <col min="8" max="8" width="10.8571428571429" customWidth="1"/>
    <col min="9" max="9" width="5" customWidth="1"/>
    <col min="10" max="10" width="8.28571428571429" customWidth="1"/>
    <col min="11" max="11" width="18.7142857142857" customWidth="1"/>
    <col min="12" max="12" width="6.85714285714286" customWidth="1"/>
    <col min="13" max="13" width="10.2857142857143" customWidth="1"/>
    <col min="14" max="14" width="11.4285714285714" customWidth="1"/>
    <col min="15" max="15" width="26.2857142857143" customWidth="1"/>
    <col min="16" max="16" width="29.8571428571429" customWidth="1"/>
  </cols>
  <sheetData>
    <row r="1" s="9" customFormat="1" spans="1:16">
      <c r="A1" s="1" t="s">
        <v>0</v>
      </c>
      <c r="B1" s="9" t="s">
        <v>1</v>
      </c>
      <c r="F1" s="9" t="s">
        <v>2</v>
      </c>
      <c r="G1" s="1" t="s">
        <v>3</v>
      </c>
      <c r="H1" s="1" t="s">
        <v>4</v>
      </c>
      <c r="I1" s="9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>
      <c r="A2" s="2" t="str" cm="1">
        <f t="array" ref="A2:A10">CONCATENATE(LOWER(G2:G10)," ",LOWER(H2:H10))</f>
        <v>felix parker</v>
      </c>
      <c r="B2" t="str">
        <f t="shared" ref="B2:B10" si="0">_xlfn.XLOOKUP(A2,O2,P2)</f>
        <v>felixparker@gmail.com</v>
      </c>
      <c r="F2" s="3">
        <v>1001</v>
      </c>
      <c r="G2" s="4" t="s">
        <v>13</v>
      </c>
      <c r="H2" s="2" t="s">
        <v>14</v>
      </c>
      <c r="I2" s="2">
        <v>30</v>
      </c>
      <c r="J2" s="2" t="s">
        <v>15</v>
      </c>
      <c r="K2" s="2" t="s">
        <v>16</v>
      </c>
      <c r="L2" s="2">
        <v>45000</v>
      </c>
      <c r="M2" s="5">
        <v>37197</v>
      </c>
      <c r="N2" s="5">
        <v>42253</v>
      </c>
      <c r="O2" s="2" t="str" cm="1">
        <f t="array" ref="O2:O10">CONCATENATE(G2:G10," ",H2:H10)</f>
        <v>Felix Parker</v>
      </c>
      <c r="P2" s="2" t="str" cm="1">
        <f t="array" ref="P2:P10">CONCATENATE(LOWER(G2:G10),"",LOWER(H2:H10),"@gmail.com")</f>
        <v>felixparker@gmail.com</v>
      </c>
    </row>
    <row r="3" spans="1:16">
      <c r="A3" s="2" t="str">
        <v>patience williams</v>
      </c>
      <c r="B3" t="str">
        <f t="shared" si="0"/>
        <v>patiencewilliams@gmail.com</v>
      </c>
      <c r="F3" s="3">
        <v>1002</v>
      </c>
      <c r="G3" s="2" t="s">
        <v>17</v>
      </c>
      <c r="H3" s="2" t="s">
        <v>18</v>
      </c>
      <c r="I3" s="2">
        <v>30</v>
      </c>
      <c r="J3" s="2" t="s">
        <v>19</v>
      </c>
      <c r="K3" s="2" t="s">
        <v>20</v>
      </c>
      <c r="L3" s="2">
        <v>36000</v>
      </c>
      <c r="M3" s="5">
        <v>36436</v>
      </c>
      <c r="N3" s="5">
        <v>42287</v>
      </c>
      <c r="O3" s="2" t="str">
        <v>Patience Williams</v>
      </c>
      <c r="P3" s="2" t="str">
        <v>patiencewilliams@gmail.com</v>
      </c>
    </row>
    <row r="4" spans="1:16">
      <c r="A4" s="2" t="str">
        <v>amos alfred</v>
      </c>
      <c r="B4" t="str">
        <f t="shared" si="0"/>
        <v>amosalfred@gmail.com</v>
      </c>
      <c r="F4" s="3">
        <v>1003</v>
      </c>
      <c r="G4" s="2" t="s">
        <v>21</v>
      </c>
      <c r="H4" s="2" t="s">
        <v>22</v>
      </c>
      <c r="I4" s="2">
        <v>29</v>
      </c>
      <c r="J4" s="2" t="s">
        <v>15</v>
      </c>
      <c r="K4" s="2" t="s">
        <v>16</v>
      </c>
      <c r="L4" s="2">
        <v>63000</v>
      </c>
      <c r="M4" s="5">
        <v>36711</v>
      </c>
      <c r="N4" s="5">
        <v>42986</v>
      </c>
      <c r="O4" s="2" t="str">
        <v>Amos Alfred</v>
      </c>
      <c r="P4" s="2" t="str">
        <v>amosalfred@gmail.com</v>
      </c>
    </row>
    <row r="5" spans="1:16">
      <c r="A5" s="2" t="str">
        <v>deborah palmer</v>
      </c>
      <c r="B5" t="str">
        <f t="shared" si="0"/>
        <v>deborahpalmer@gmail.com</v>
      </c>
      <c r="F5" s="3">
        <v>1004</v>
      </c>
      <c r="G5" s="2" t="s">
        <v>23</v>
      </c>
      <c r="H5" s="2" t="s">
        <v>24</v>
      </c>
      <c r="I5" s="2">
        <v>31</v>
      </c>
      <c r="J5" s="2" t="s">
        <v>15</v>
      </c>
      <c r="K5" s="2" t="s">
        <v>25</v>
      </c>
      <c r="L5" s="2">
        <v>47000</v>
      </c>
      <c r="M5" s="5">
        <v>36530</v>
      </c>
      <c r="N5" s="5">
        <v>42341</v>
      </c>
      <c r="O5" s="2" t="str">
        <v>Deborah Palmer</v>
      </c>
      <c r="P5" s="2" t="str">
        <v>deborahpalmer@gmail.com</v>
      </c>
    </row>
    <row r="6" spans="1:16">
      <c r="A6" s="2" t="str">
        <v>praise cole</v>
      </c>
      <c r="B6" t="str">
        <f t="shared" si="0"/>
        <v>praisecole@gmail.com</v>
      </c>
      <c r="F6" s="3">
        <v>1005</v>
      </c>
      <c r="G6" s="2" t="s">
        <v>26</v>
      </c>
      <c r="H6" s="2" t="s">
        <v>27</v>
      </c>
      <c r="I6" s="2">
        <v>32</v>
      </c>
      <c r="J6" s="2" t="s">
        <v>19</v>
      </c>
      <c r="K6" s="2" t="s">
        <v>28</v>
      </c>
      <c r="L6" s="2">
        <v>50000</v>
      </c>
      <c r="M6" s="5">
        <v>37017</v>
      </c>
      <c r="N6" s="5">
        <v>42977</v>
      </c>
      <c r="O6" s="2" t="str">
        <v>Praise Cole</v>
      </c>
      <c r="P6" s="2" t="str">
        <v>praisecole@gmail.com</v>
      </c>
    </row>
    <row r="7" spans="1:16">
      <c r="A7" s="2" t="str">
        <v>john hudson</v>
      </c>
      <c r="B7" t="str">
        <f t="shared" si="0"/>
        <v>johnhudson@gmail.com</v>
      </c>
      <c r="F7" s="3">
        <v>1006</v>
      </c>
      <c r="G7" s="2" t="s">
        <v>29</v>
      </c>
      <c r="H7" s="2" t="s">
        <v>30</v>
      </c>
      <c r="I7" s="2">
        <v>35</v>
      </c>
      <c r="J7" s="2" t="s">
        <v>15</v>
      </c>
      <c r="K7" s="2" t="s">
        <v>31</v>
      </c>
      <c r="L7" s="2">
        <v>65000</v>
      </c>
      <c r="M7" s="5">
        <v>35040</v>
      </c>
      <c r="N7" s="5">
        <v>41528</v>
      </c>
      <c r="O7" s="2" t="str">
        <v>John Hudson</v>
      </c>
      <c r="P7" s="2" t="str">
        <v>johnhudson@gmail.com</v>
      </c>
    </row>
    <row r="8" spans="1:16">
      <c r="A8" s="2" t="str">
        <v>peace beasley</v>
      </c>
      <c r="B8" t="str">
        <f t="shared" si="0"/>
        <v>peacebeasley@gmail.com</v>
      </c>
      <c r="F8" s="3">
        <v>1007</v>
      </c>
      <c r="G8" s="2" t="s">
        <v>32</v>
      </c>
      <c r="H8" s="2" t="s">
        <v>33</v>
      </c>
      <c r="I8" s="2">
        <v>32</v>
      </c>
      <c r="J8" s="2" t="s">
        <v>19</v>
      </c>
      <c r="K8" s="2" t="s">
        <v>34</v>
      </c>
      <c r="L8" s="2">
        <v>41000</v>
      </c>
      <c r="M8" s="5">
        <v>37933</v>
      </c>
      <c r="N8" s="5">
        <v>41551</v>
      </c>
      <c r="O8" s="2" t="str">
        <v>Peace Beasley</v>
      </c>
      <c r="P8" s="2" t="str">
        <v>peacebeasley@gmail.com</v>
      </c>
    </row>
    <row r="9" spans="1:16">
      <c r="A9" s="2" t="str">
        <v>martins malone</v>
      </c>
      <c r="B9" t="str">
        <f t="shared" si="0"/>
        <v>martinsmalone@gmail.com</v>
      </c>
      <c r="F9" s="3">
        <v>1008</v>
      </c>
      <c r="G9" s="2" t="s">
        <v>35</v>
      </c>
      <c r="H9" s="2" t="s">
        <v>36</v>
      </c>
      <c r="I9" s="2">
        <v>38</v>
      </c>
      <c r="J9" s="2" t="s">
        <v>15</v>
      </c>
      <c r="K9" s="2" t="s">
        <v>16</v>
      </c>
      <c r="L9" s="2">
        <v>48000</v>
      </c>
      <c r="M9" s="5">
        <v>37416</v>
      </c>
      <c r="N9" s="5">
        <v>42116</v>
      </c>
      <c r="O9" s="2" t="str">
        <v>Martins MAlone</v>
      </c>
      <c r="P9" s="2" t="str">
        <v>martinsmalone@gmail.com</v>
      </c>
    </row>
    <row r="10" spans="1:16">
      <c r="A10" s="2" t="str">
        <v>scott halpert</v>
      </c>
      <c r="B10" t="str">
        <f t="shared" si="0"/>
        <v>scotthalpert@gmail.com</v>
      </c>
      <c r="F10" s="3">
        <v>1009</v>
      </c>
      <c r="G10" s="2" t="s">
        <v>37</v>
      </c>
      <c r="H10" s="2" t="s">
        <v>38</v>
      </c>
      <c r="I10" s="2">
        <v>31</v>
      </c>
      <c r="J10" s="2" t="s">
        <v>15</v>
      </c>
      <c r="K10" s="2" t="s">
        <v>25</v>
      </c>
      <c r="L10" s="2">
        <v>42000</v>
      </c>
      <c r="M10" s="5">
        <v>37843</v>
      </c>
      <c r="N10" s="5">
        <v>40800</v>
      </c>
      <c r="O10" s="2" t="str">
        <v>Scott Halpert</v>
      </c>
      <c r="P10" s="2" t="str">
        <v>scotthalpert@gmail.com</v>
      </c>
    </row>
    <row r="11" customFormat="1" spans="7:16">
      <c r="G11" s="2"/>
      <c r="H11" s="2"/>
      <c r="J11" s="2"/>
      <c r="K11" s="2"/>
      <c r="L11" s="2"/>
      <c r="M11" s="2"/>
      <c r="N11" s="2"/>
      <c r="O11" s="2"/>
      <c r="P11" s="2"/>
    </row>
    <row r="17" spans="3:3">
      <c r="C17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workbookViewId="0">
      <selection activeCell="B2" sqref="B2"/>
    </sheetView>
  </sheetViews>
  <sheetFormatPr defaultColWidth="9.14285714285714" defaultRowHeight="15"/>
  <cols>
    <col min="1" max="1" width="18" customWidth="1"/>
    <col min="2" max="2" width="29.8571428571429" customWidth="1"/>
    <col min="4" max="4" width="18.7142857142857" customWidth="1"/>
    <col min="6" max="9" width="13" customWidth="1"/>
    <col min="10" max="10" width="11.2857142857143" customWidth="1"/>
    <col min="11" max="11" width="10.8571428571429" customWidth="1"/>
    <col min="12" max="12" width="5" customWidth="1"/>
    <col min="13" max="13" width="8.28571428571429" customWidth="1"/>
    <col min="14" max="14" width="18.7142857142857" customWidth="1"/>
    <col min="15" max="15" width="6.85714285714286" customWidth="1"/>
    <col min="16" max="16" width="10.2857142857143" customWidth="1"/>
    <col min="17" max="17" width="11.4285714285714" customWidth="1"/>
    <col min="18" max="18" width="26.2857142857143" customWidth="1"/>
    <col min="19" max="19" width="29.8571428571429" customWidth="1"/>
  </cols>
  <sheetData>
    <row r="1" spans="1:19">
      <c r="A1" s="1" t="s">
        <v>0</v>
      </c>
      <c r="B1" s="9" t="s">
        <v>39</v>
      </c>
      <c r="C1" s="9"/>
      <c r="D1" s="9"/>
      <c r="E1" s="9"/>
      <c r="F1" s="9"/>
      <c r="G1" s="9"/>
      <c r="H1" s="9"/>
      <c r="I1" s="9" t="s">
        <v>2</v>
      </c>
      <c r="J1" s="1" t="s">
        <v>3</v>
      </c>
      <c r="K1" s="1" t="s">
        <v>4</v>
      </c>
      <c r="L1" s="9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</row>
    <row r="2" spans="1:19">
      <c r="A2" s="2" t="str" cm="1">
        <f t="array" ref="A2:A10">CONCATENATE(LOWER(J2:J10)," ",LOWER(K2:K10))</f>
        <v>felix parker</v>
      </c>
      <c r="B2" cm="1">
        <f t="array" ref="B2:E2">_xlfn.XLOOKUP(A2,R2:R10,L2:O10)</f>
        <v>30</v>
      </c>
      <c r="C2" t="str">
        <v>Male</v>
      </c>
      <c r="D2" t="str">
        <v>Salesperson</v>
      </c>
      <c r="E2">
        <v>45000</v>
      </c>
      <c r="F2" s="3"/>
      <c r="G2" s="3"/>
      <c r="H2" s="3"/>
      <c r="I2" s="3">
        <v>1001</v>
      </c>
      <c r="J2" s="4" t="s">
        <v>13</v>
      </c>
      <c r="K2" s="2" t="s">
        <v>14</v>
      </c>
      <c r="L2" s="2">
        <v>30</v>
      </c>
      <c r="M2" s="2" t="s">
        <v>15</v>
      </c>
      <c r="N2" s="2" t="s">
        <v>16</v>
      </c>
      <c r="O2" s="2">
        <v>45000</v>
      </c>
      <c r="P2" s="5">
        <v>37197</v>
      </c>
      <c r="Q2" s="5">
        <v>42253</v>
      </c>
      <c r="R2" s="2" t="str" cm="1">
        <f t="array" ref="R2:R10">CONCATENATE(J2:J10," ",K2:K10)</f>
        <v>Felix Parker</v>
      </c>
      <c r="S2" s="2" t="str" cm="1">
        <f t="array" ref="S2:S10">CONCATENATE(LOWER(J2:J10),"",LOWER(K2:K10),"@gmail.com")</f>
        <v>felixparker@gmail.com</v>
      </c>
    </row>
    <row r="3" spans="1:19">
      <c r="A3" s="2" t="str">
        <v>patience williams</v>
      </c>
      <c r="B3" cm="1">
        <f t="array" ref="B3:E3">_xlfn.XLOOKUP(A3,R3:R11,L3:O11)</f>
        <v>30</v>
      </c>
      <c r="C3" t="str">
        <v>Female</v>
      </c>
      <c r="D3" t="str">
        <v>Receptionist</v>
      </c>
      <c r="E3">
        <v>36000</v>
      </c>
      <c r="F3" s="3"/>
      <c r="G3" s="3"/>
      <c r="H3" s="3"/>
      <c r="I3" s="3">
        <v>1002</v>
      </c>
      <c r="J3" s="2" t="s">
        <v>17</v>
      </c>
      <c r="K3" s="2" t="s">
        <v>18</v>
      </c>
      <c r="L3" s="2">
        <v>30</v>
      </c>
      <c r="M3" s="2" t="s">
        <v>19</v>
      </c>
      <c r="N3" s="2" t="s">
        <v>20</v>
      </c>
      <c r="O3" s="2">
        <v>36000</v>
      </c>
      <c r="P3" s="5">
        <v>36436</v>
      </c>
      <c r="Q3" s="5">
        <v>42287</v>
      </c>
      <c r="R3" s="2" t="str">
        <v>Patience Williams</v>
      </c>
      <c r="S3" s="2" t="str">
        <v>patiencewilliams@gmail.com</v>
      </c>
    </row>
    <row r="4" spans="1:19">
      <c r="A4" s="2" t="str">
        <v>amos alfred</v>
      </c>
      <c r="B4" cm="1">
        <f t="array" ref="B4:E4">_xlfn.XLOOKUP(A4,R4:R12,L4:O12)</f>
        <v>29</v>
      </c>
      <c r="C4" t="str">
        <v>Male</v>
      </c>
      <c r="D4" t="str">
        <v>Salesperson</v>
      </c>
      <c r="E4">
        <v>63000</v>
      </c>
      <c r="F4" s="3"/>
      <c r="G4" s="3"/>
      <c r="H4" s="3"/>
      <c r="I4" s="3">
        <v>1003</v>
      </c>
      <c r="J4" s="2" t="s">
        <v>21</v>
      </c>
      <c r="K4" s="2" t="s">
        <v>22</v>
      </c>
      <c r="L4" s="2">
        <v>29</v>
      </c>
      <c r="M4" s="2" t="s">
        <v>15</v>
      </c>
      <c r="N4" s="2" t="s">
        <v>16</v>
      </c>
      <c r="O4" s="2">
        <v>63000</v>
      </c>
      <c r="P4" s="5">
        <v>36711</v>
      </c>
      <c r="Q4" s="5">
        <v>42986</v>
      </c>
      <c r="R4" s="2" t="str">
        <v>Amos Alfred</v>
      </c>
      <c r="S4" s="2" t="str">
        <v>amosalfred@gmail.com</v>
      </c>
    </row>
    <row r="5" spans="1:19">
      <c r="A5" s="2" t="str">
        <v>deborah palmer</v>
      </c>
      <c r="B5" cm="1">
        <f t="array" ref="B5:E5">_xlfn.XLOOKUP(A5,R5:R13,L5:O13)</f>
        <v>31</v>
      </c>
      <c r="C5" t="str">
        <v>Male</v>
      </c>
      <c r="D5" t="str">
        <v>Accountant</v>
      </c>
      <c r="E5">
        <v>47000</v>
      </c>
      <c r="F5" s="3"/>
      <c r="G5" s="3"/>
      <c r="H5" s="3"/>
      <c r="I5" s="3">
        <v>1004</v>
      </c>
      <c r="J5" s="2" t="s">
        <v>23</v>
      </c>
      <c r="K5" s="2" t="s">
        <v>24</v>
      </c>
      <c r="L5" s="2">
        <v>31</v>
      </c>
      <c r="M5" s="2" t="s">
        <v>15</v>
      </c>
      <c r="N5" s="2" t="s">
        <v>25</v>
      </c>
      <c r="O5" s="2">
        <v>47000</v>
      </c>
      <c r="P5" s="5">
        <v>36530</v>
      </c>
      <c r="Q5" s="5">
        <v>42341</v>
      </c>
      <c r="R5" s="2" t="str">
        <v>Deborah Palmer</v>
      </c>
      <c r="S5" s="2" t="str">
        <v>deborahpalmer@gmail.com</v>
      </c>
    </row>
    <row r="6" spans="1:19">
      <c r="A6" s="2" t="str">
        <v>praise cole</v>
      </c>
      <c r="B6" cm="1">
        <f t="array" ref="B6:E6">_xlfn.XLOOKUP(A6,R2:R10,L2:O10)</f>
        <v>32</v>
      </c>
      <c r="C6" t="str">
        <v>Female</v>
      </c>
      <c r="D6" t="str">
        <v>HR</v>
      </c>
      <c r="E6">
        <v>50000</v>
      </c>
      <c r="F6" s="3"/>
      <c r="G6" s="3"/>
      <c r="H6" s="3"/>
      <c r="I6" s="3">
        <v>1005</v>
      </c>
      <c r="J6" s="2" t="s">
        <v>26</v>
      </c>
      <c r="K6" s="2" t="s">
        <v>27</v>
      </c>
      <c r="L6" s="2">
        <v>32</v>
      </c>
      <c r="M6" s="2" t="s">
        <v>19</v>
      </c>
      <c r="N6" s="2" t="s">
        <v>28</v>
      </c>
      <c r="O6" s="2">
        <v>50000</v>
      </c>
      <c r="P6" s="5">
        <v>37017</v>
      </c>
      <c r="Q6" s="5">
        <v>42977</v>
      </c>
      <c r="R6" s="2" t="str">
        <v>Praise Cole</v>
      </c>
      <c r="S6" s="2" t="str">
        <v>praisecole@gmail.com</v>
      </c>
    </row>
    <row r="7" spans="1:19">
      <c r="A7" s="2" t="str">
        <v>john hudson</v>
      </c>
      <c r="B7" cm="1">
        <f t="array" ref="B7:E7">_xlfn.XLOOKUP(A7,R3:R11,L3:O11)</f>
        <v>35</v>
      </c>
      <c r="C7" t="str">
        <v>Male</v>
      </c>
      <c r="D7" t="str">
        <v>Regional Manager</v>
      </c>
      <c r="E7">
        <v>65000</v>
      </c>
      <c r="F7" s="3"/>
      <c r="G7" s="3"/>
      <c r="H7" s="3"/>
      <c r="I7" s="3">
        <v>1006</v>
      </c>
      <c r="J7" s="2" t="s">
        <v>29</v>
      </c>
      <c r="K7" s="2" t="s">
        <v>30</v>
      </c>
      <c r="L7" s="2">
        <v>35</v>
      </c>
      <c r="M7" s="2" t="s">
        <v>15</v>
      </c>
      <c r="N7" s="2" t="s">
        <v>31</v>
      </c>
      <c r="O7" s="2">
        <v>65000</v>
      </c>
      <c r="P7" s="5">
        <v>35040</v>
      </c>
      <c r="Q7" s="5">
        <v>41528</v>
      </c>
      <c r="R7" s="2" t="str">
        <v>John Hudson</v>
      </c>
      <c r="S7" s="2" t="str">
        <v>johnhudson@gmail.com</v>
      </c>
    </row>
    <row r="8" spans="1:19">
      <c r="A8" s="2" t="str">
        <v>peace beasley</v>
      </c>
      <c r="B8" cm="1">
        <f t="array" ref="B8:E8">_xlfn.XLOOKUP(A8,R4:R12,L4:O12)</f>
        <v>32</v>
      </c>
      <c r="C8" t="str">
        <v>Female</v>
      </c>
      <c r="D8" t="str">
        <v>Supplier Relations</v>
      </c>
      <c r="E8">
        <v>41000</v>
      </c>
      <c r="F8" s="3"/>
      <c r="G8" s="3"/>
      <c r="H8" s="3"/>
      <c r="I8" s="3">
        <v>1007</v>
      </c>
      <c r="J8" s="2" t="s">
        <v>32</v>
      </c>
      <c r="K8" s="2" t="s">
        <v>33</v>
      </c>
      <c r="L8" s="2">
        <v>32</v>
      </c>
      <c r="M8" s="2" t="s">
        <v>19</v>
      </c>
      <c r="N8" s="2" t="s">
        <v>34</v>
      </c>
      <c r="O8" s="2">
        <v>41000</v>
      </c>
      <c r="P8" s="5">
        <v>37933</v>
      </c>
      <c r="Q8" s="5">
        <v>41551</v>
      </c>
      <c r="R8" s="2" t="str">
        <v>Peace Beasley</v>
      </c>
      <c r="S8" s="2" t="str">
        <v>peacebeasley@gmail.com</v>
      </c>
    </row>
    <row r="9" spans="1:19">
      <c r="A9" s="2" t="str">
        <v>martins malone</v>
      </c>
      <c r="B9" cm="1">
        <f t="array" ref="B9:E9">_xlfn.XLOOKUP(A9,R5:R13,L5:O13)</f>
        <v>38</v>
      </c>
      <c r="C9" t="str">
        <v>Male</v>
      </c>
      <c r="D9" t="str">
        <v>Salesperson</v>
      </c>
      <c r="E9">
        <v>48000</v>
      </c>
      <c r="F9" s="3"/>
      <c r="G9" s="3"/>
      <c r="H9" s="3"/>
      <c r="I9" s="3">
        <v>1008</v>
      </c>
      <c r="J9" s="2" t="s">
        <v>35</v>
      </c>
      <c r="K9" s="2" t="s">
        <v>36</v>
      </c>
      <c r="L9" s="2">
        <v>38</v>
      </c>
      <c r="M9" s="2" t="s">
        <v>15</v>
      </c>
      <c r="N9" s="2" t="s">
        <v>16</v>
      </c>
      <c r="O9" s="2">
        <v>48000</v>
      </c>
      <c r="P9" s="5">
        <v>37416</v>
      </c>
      <c r="Q9" s="5">
        <v>42116</v>
      </c>
      <c r="R9" s="2" t="str">
        <v>Martins MAlone</v>
      </c>
      <c r="S9" s="2" t="str">
        <v>martinsmalone@gmail.com</v>
      </c>
    </row>
    <row r="10" spans="1:19">
      <c r="A10" s="2" t="str">
        <v>scott halpert</v>
      </c>
      <c r="F10" s="3"/>
      <c r="G10" s="3"/>
      <c r="H10" s="3"/>
      <c r="I10" s="3">
        <v>1009</v>
      </c>
      <c r="J10" s="2" t="s">
        <v>37</v>
      </c>
      <c r="K10" s="2" t="s">
        <v>38</v>
      </c>
      <c r="L10" s="2">
        <v>31</v>
      </c>
      <c r="M10" s="2" t="s">
        <v>15</v>
      </c>
      <c r="N10" s="2" t="s">
        <v>25</v>
      </c>
      <c r="O10" s="2">
        <v>42000</v>
      </c>
      <c r="P10" s="5">
        <v>37843</v>
      </c>
      <c r="Q10" s="5">
        <v>40800</v>
      </c>
      <c r="R10" s="2" t="str">
        <v>Scott Halpert</v>
      </c>
      <c r="S10" s="2" t="str">
        <v>scotthalpert@gmail.com</v>
      </c>
    </row>
    <row r="14" spans="2:2">
      <c r="B14" s="9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0" zoomScaleNormal="80" workbookViewId="0">
      <pane xSplit="14670" topLeftCell="T1" activePane="topLeft"/>
      <selection activeCell="B6" sqref="B6"/>
      <selection pane="topRight"/>
    </sheetView>
  </sheetViews>
  <sheetFormatPr defaultColWidth="9.14285714285714" defaultRowHeight="15"/>
  <cols>
    <col min="1" max="1" width="18" customWidth="1"/>
    <col min="2" max="2" width="29.8571428571429" customWidth="1"/>
    <col min="3" max="3" width="8.14285714285714" customWidth="1"/>
    <col min="6" max="6" width="13" customWidth="1"/>
    <col min="7" max="7" width="11.2857142857143" customWidth="1"/>
    <col min="8" max="8" width="10.8571428571429" customWidth="1"/>
    <col min="9" max="9" width="5" customWidth="1"/>
    <col min="10" max="10" width="8.28571428571429" customWidth="1"/>
    <col min="11" max="11" width="18.7142857142857" customWidth="1"/>
    <col min="12" max="12" width="6.85714285714286" customWidth="1"/>
    <col min="13" max="13" width="10.2857142857143" customWidth="1"/>
    <col min="14" max="14" width="11.4285714285714" customWidth="1"/>
    <col min="15" max="15" width="26.2857142857143" customWidth="1"/>
    <col min="16" max="16" width="29.8571428571429" customWidth="1"/>
  </cols>
  <sheetData>
    <row r="1" s="1" customFormat="1" spans="1:16">
      <c r="A1" s="1" t="s">
        <v>41</v>
      </c>
      <c r="B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="2" customFormat="1" spans="1:16">
      <c r="A2" s="2" t="s">
        <v>42</v>
      </c>
      <c r="B2" s="2" t="str" cm="1">
        <f t="array" ref="B2">_xlfn.XLOOKUP(A2,_xlfn.ANCHORARRAY(O2),_xlfn.ANCHORARRAY(P2),"Not found")</f>
        <v>Not found</v>
      </c>
      <c r="F2" s="3">
        <v>1001</v>
      </c>
      <c r="G2" s="4" t="s">
        <v>13</v>
      </c>
      <c r="H2" s="2" t="s">
        <v>14</v>
      </c>
      <c r="I2" s="2">
        <v>30</v>
      </c>
      <c r="J2" s="2" t="s">
        <v>15</v>
      </c>
      <c r="K2" s="2" t="s">
        <v>16</v>
      </c>
      <c r="L2" s="2">
        <v>45000</v>
      </c>
      <c r="M2" s="5">
        <v>37197</v>
      </c>
      <c r="N2" s="5">
        <v>42253</v>
      </c>
      <c r="O2" s="2" t="str" cm="1">
        <f t="array" ref="O2:O10">CONCATENATE(G2:G10," ",H2:H10)</f>
        <v>Felix Parker</v>
      </c>
      <c r="P2" s="2" t="str" cm="1">
        <f t="array" ref="P2:P10">CONCATENATE(LOWER(G2:G10),"",LOWER(H2:H10),"@gmail.com")</f>
        <v>felixparker@gmail.com</v>
      </c>
    </row>
    <row r="3" s="2" customFormat="1" spans="1:16">
      <c r="A3" s="2" t="s">
        <v>18</v>
      </c>
      <c r="B3" s="2" t="str" cm="1">
        <f t="array" ref="B3">_xlfn.XLOOKUP("*"&amp;A3,_xlfn.ANCHORARRAY(O2),_xlfn.ANCHORARRAY(P2),"Not Found",2)</f>
        <v>patiencewilliams@gmail.com</v>
      </c>
      <c r="F3" s="3">
        <v>1002</v>
      </c>
      <c r="G3" s="2" t="s">
        <v>17</v>
      </c>
      <c r="H3" s="2" t="s">
        <v>18</v>
      </c>
      <c r="I3" s="2">
        <v>30</v>
      </c>
      <c r="J3" s="2" t="s">
        <v>19</v>
      </c>
      <c r="K3" s="2" t="s">
        <v>20</v>
      </c>
      <c r="L3" s="2">
        <v>36000</v>
      </c>
      <c r="M3" s="5">
        <v>36436</v>
      </c>
      <c r="N3" s="5">
        <v>42287</v>
      </c>
      <c r="O3" s="2" t="str">
        <v>Patience Williams</v>
      </c>
      <c r="P3" s="2" t="str">
        <v>patiencewilliams@gmail.com</v>
      </c>
    </row>
    <row r="4" s="2" customFormat="1" spans="1:16">
      <c r="A4" s="2" t="s">
        <v>21</v>
      </c>
      <c r="B4" s="2" t="str" cm="1">
        <f t="array" ref="B4">_xlfn.XLOOKUP(A4&amp;"*",_xlfn.ANCHORARRAY(O2),_xlfn.ANCHORARRAY(P2),"Not Found",2)</f>
        <v>amosalfred@gmail.com</v>
      </c>
      <c r="F4" s="3">
        <v>1003</v>
      </c>
      <c r="G4" s="2" t="s">
        <v>21</v>
      </c>
      <c r="H4" s="2" t="s">
        <v>22</v>
      </c>
      <c r="I4" s="2">
        <v>29</v>
      </c>
      <c r="J4" s="2" t="s">
        <v>15</v>
      </c>
      <c r="K4" s="2" t="s">
        <v>16</v>
      </c>
      <c r="L4" s="2">
        <v>63000</v>
      </c>
      <c r="M4" s="5">
        <v>36711</v>
      </c>
      <c r="N4" s="5">
        <v>42986</v>
      </c>
      <c r="O4" s="2" t="str">
        <v>Amos Alfred</v>
      </c>
      <c r="P4" s="2" t="str">
        <v>amosalfred@gmail.com</v>
      </c>
    </row>
    <row r="5" s="2" customFormat="1" spans="1:16">
      <c r="A5" s="2" t="s">
        <v>43</v>
      </c>
      <c r="B5" s="2" t="str" cm="1">
        <f t="array" ref="B5">_xlfn.XLOOKUP(A5&amp;"*",_xlfn.ANCHORARRAY(O2),_xlfn.ANCHORARRAY(P2),"Not Found",2)</f>
        <v>deborahpalmer@gmail.com</v>
      </c>
      <c r="F5" s="3">
        <v>1004</v>
      </c>
      <c r="G5" s="2" t="s">
        <v>23</v>
      </c>
      <c r="H5" s="2" t="s">
        <v>24</v>
      </c>
      <c r="I5" s="2">
        <v>31</v>
      </c>
      <c r="J5" s="2" t="s">
        <v>15</v>
      </c>
      <c r="K5" s="2" t="s">
        <v>25</v>
      </c>
      <c r="L5" s="2">
        <v>47000</v>
      </c>
      <c r="M5" s="5">
        <v>36530</v>
      </c>
      <c r="N5" s="5">
        <v>42341</v>
      </c>
      <c r="O5" s="2" t="str">
        <v>Deborah Palmer</v>
      </c>
      <c r="P5" s="2" t="str">
        <v>deborahpalmer@gmail.com</v>
      </c>
    </row>
    <row r="6" s="2" customFormat="1" spans="6:16">
      <c r="F6" s="3">
        <v>1005</v>
      </c>
      <c r="G6" s="2" t="s">
        <v>26</v>
      </c>
      <c r="H6" s="2" t="s">
        <v>27</v>
      </c>
      <c r="I6" s="2">
        <v>32</v>
      </c>
      <c r="J6" s="2" t="s">
        <v>19</v>
      </c>
      <c r="K6" s="2" t="s">
        <v>28</v>
      </c>
      <c r="L6" s="2">
        <v>50000</v>
      </c>
      <c r="M6" s="5">
        <v>37017</v>
      </c>
      <c r="N6" s="5">
        <v>42977</v>
      </c>
      <c r="O6" s="2" t="str">
        <v>Praise Cole</v>
      </c>
      <c r="P6" s="2" t="str">
        <v>praisecole@gmail.com</v>
      </c>
    </row>
    <row r="7" s="2" customFormat="1" spans="6:16">
      <c r="F7" s="3">
        <v>1006</v>
      </c>
      <c r="G7" s="2" t="s">
        <v>29</v>
      </c>
      <c r="H7" s="2" t="s">
        <v>30</v>
      </c>
      <c r="I7" s="2">
        <v>35</v>
      </c>
      <c r="J7" s="2" t="s">
        <v>15</v>
      </c>
      <c r="K7" s="2" t="s">
        <v>31</v>
      </c>
      <c r="L7" s="2">
        <v>65000</v>
      </c>
      <c r="M7" s="5">
        <v>35040</v>
      </c>
      <c r="N7" s="5">
        <v>41528</v>
      </c>
      <c r="O7" s="2" t="str">
        <v>John Hudson</v>
      </c>
      <c r="P7" s="2" t="str">
        <v>johnhudson@gmail.com</v>
      </c>
    </row>
    <row r="8" s="2" customFormat="1" spans="6:16">
      <c r="F8" s="3">
        <v>1007</v>
      </c>
      <c r="G8" s="2" t="s">
        <v>32</v>
      </c>
      <c r="H8" s="2" t="s">
        <v>33</v>
      </c>
      <c r="I8" s="2">
        <v>32</v>
      </c>
      <c r="J8" s="2" t="s">
        <v>19</v>
      </c>
      <c r="K8" s="2" t="s">
        <v>34</v>
      </c>
      <c r="L8" s="2">
        <v>41000</v>
      </c>
      <c r="M8" s="5">
        <v>37933</v>
      </c>
      <c r="N8" s="5">
        <v>41551</v>
      </c>
      <c r="O8" s="2" t="str">
        <v>Peace Beasley</v>
      </c>
      <c r="P8" s="2" t="str">
        <v>peacebeasley@gmail.com</v>
      </c>
    </row>
    <row r="9" s="2" customFormat="1" spans="6:16">
      <c r="F9" s="3">
        <v>1008</v>
      </c>
      <c r="G9" s="2" t="s">
        <v>35</v>
      </c>
      <c r="H9" s="2" t="s">
        <v>36</v>
      </c>
      <c r="I9" s="2">
        <v>38</v>
      </c>
      <c r="J9" s="2" t="s">
        <v>15</v>
      </c>
      <c r="K9" s="2" t="s">
        <v>16</v>
      </c>
      <c r="L9" s="2">
        <v>48000</v>
      </c>
      <c r="M9" s="5">
        <v>37416</v>
      </c>
      <c r="N9" s="5">
        <v>42116</v>
      </c>
      <c r="O9" s="2" t="str">
        <v>Martins MAlone</v>
      </c>
      <c r="P9" s="2" t="str">
        <v>martinsmalone@gmail.com</v>
      </c>
    </row>
    <row r="10" s="2" customFormat="1" spans="6:16">
      <c r="F10" s="3">
        <v>1009</v>
      </c>
      <c r="G10" s="2" t="s">
        <v>37</v>
      </c>
      <c r="H10" s="2" t="s">
        <v>38</v>
      </c>
      <c r="I10" s="2">
        <v>31</v>
      </c>
      <c r="J10" s="2" t="s">
        <v>15</v>
      </c>
      <c r="K10" s="2" t="s">
        <v>25</v>
      </c>
      <c r="L10" s="2">
        <v>42000</v>
      </c>
      <c r="M10" s="5">
        <v>37843</v>
      </c>
      <c r="N10" s="5">
        <v>40800</v>
      </c>
      <c r="O10" s="2" t="str">
        <v>Scott Halpert</v>
      </c>
      <c r="P10" s="2" t="str">
        <v>scotthalpert@gmail.com</v>
      </c>
    </row>
    <row r="11" customFormat="1" spans="7:16">
      <c r="G11" s="2"/>
      <c r="H11" s="2"/>
      <c r="J11" s="2"/>
      <c r="K11" s="2"/>
      <c r="L11" s="2"/>
      <c r="M11" s="2"/>
      <c r="N11" s="2"/>
      <c r="O11" s="2"/>
      <c r="P11" s="2"/>
    </row>
    <row r="17" customFormat="1" spans="3:3">
      <c r="C17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B2" sqref="B2"/>
    </sheetView>
  </sheetViews>
  <sheetFormatPr defaultColWidth="9.14285714285714" defaultRowHeight="15"/>
  <cols>
    <col min="1" max="1" width="18" customWidth="1"/>
    <col min="2" max="2" width="42.2857142857143" customWidth="1"/>
    <col min="3" max="3" width="8.14285714285714" customWidth="1"/>
    <col min="6" max="6" width="13" customWidth="1"/>
    <col min="7" max="7" width="11.2857142857143" customWidth="1"/>
    <col min="8" max="8" width="10.8571428571429" customWidth="1"/>
    <col min="9" max="9" width="5" customWidth="1"/>
    <col min="10" max="10" width="8.28571428571429" customWidth="1"/>
    <col min="11" max="11" width="18.7142857142857" customWidth="1"/>
    <col min="12" max="12" width="6.85714285714286" customWidth="1"/>
    <col min="13" max="13" width="10.2857142857143" customWidth="1"/>
    <col min="14" max="14" width="11.4285714285714" customWidth="1"/>
    <col min="15" max="15" width="26.2857142857143" customWidth="1"/>
    <col min="16" max="16" width="29.8571428571429" customWidth="1"/>
  </cols>
  <sheetData>
    <row r="1" s="9" customFormat="1" spans="1:16">
      <c r="A1" s="1" t="s">
        <v>9</v>
      </c>
      <c r="B1" s="1" t="s">
        <v>44</v>
      </c>
      <c r="F1" s="9" t="s">
        <v>2</v>
      </c>
      <c r="G1" s="1" t="s">
        <v>3</v>
      </c>
      <c r="H1" s="1" t="s">
        <v>4</v>
      </c>
      <c r="I1" s="9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>
      <c r="A2" s="5">
        <v>36526</v>
      </c>
      <c r="B2" s="2" t="str">
        <f>_xlfn.XLOOKUP(A2,M2:M10,O2:O10,,1)</f>
        <v>Deborah Palmer</v>
      </c>
      <c r="F2" s="3">
        <v>1001</v>
      </c>
      <c r="G2" s="4" t="s">
        <v>13</v>
      </c>
      <c r="H2" s="2" t="s">
        <v>14</v>
      </c>
      <c r="I2" s="2">
        <v>30</v>
      </c>
      <c r="J2" s="2" t="s">
        <v>15</v>
      </c>
      <c r="K2" s="2" t="s">
        <v>16</v>
      </c>
      <c r="L2" s="2">
        <v>45000</v>
      </c>
      <c r="M2" s="5">
        <v>37197</v>
      </c>
      <c r="N2" s="5">
        <v>42253</v>
      </c>
      <c r="O2" s="2" t="str" cm="1">
        <f t="array" ref="O2:O10">CONCATENATE(G2:G10," ",H2:H10)</f>
        <v>Felix Parker</v>
      </c>
      <c r="P2" s="2" t="str" cm="1">
        <f t="array" ref="P2:P10">CONCATENATE(LOWER(G2:G10),"",LOWER(H2:H10),"@gmail.com")</f>
        <v>felixparker@gmail.com</v>
      </c>
    </row>
    <row r="3" customFormat="1" spans="1:16">
      <c r="A3" s="5">
        <v>37017</v>
      </c>
      <c r="B3" s="2" t="str">
        <f>_xlfn.XLOOKUP(A3,M2:M10,O2:O10,,,-1)</f>
        <v>John Hudson</v>
      </c>
      <c r="F3" s="3">
        <v>1002</v>
      </c>
      <c r="G3" s="2" t="s">
        <v>17</v>
      </c>
      <c r="H3" s="2" t="s">
        <v>18</v>
      </c>
      <c r="I3" s="2">
        <v>30</v>
      </c>
      <c r="J3" s="2" t="s">
        <v>19</v>
      </c>
      <c r="K3" s="2" t="s">
        <v>20</v>
      </c>
      <c r="L3" s="2">
        <v>36000</v>
      </c>
      <c r="M3" s="5">
        <v>36436</v>
      </c>
      <c r="N3" s="5">
        <v>42287</v>
      </c>
      <c r="O3" s="2" t="str">
        <v>Patience Williams</v>
      </c>
      <c r="P3" s="2" t="str">
        <v>patiencewilliams@gmail.com</v>
      </c>
    </row>
    <row r="4" customFormat="1" spans="1:16">
      <c r="A4" s="2"/>
      <c r="F4" s="3">
        <v>1003</v>
      </c>
      <c r="G4" s="2" t="s">
        <v>21</v>
      </c>
      <c r="H4" s="2" t="s">
        <v>22</v>
      </c>
      <c r="I4" s="2">
        <v>29</v>
      </c>
      <c r="J4" s="2" t="s">
        <v>15</v>
      </c>
      <c r="K4" s="2" t="s">
        <v>16</v>
      </c>
      <c r="L4" s="2">
        <v>63000</v>
      </c>
      <c r="M4" s="5">
        <v>36711</v>
      </c>
      <c r="N4" s="5">
        <v>42986</v>
      </c>
      <c r="O4" s="2" t="str">
        <v>Amos Alfred</v>
      </c>
      <c r="P4" s="2" t="str">
        <v>amosalfred@gmail.com</v>
      </c>
    </row>
    <row r="5" customFormat="1" spans="1:16">
      <c r="A5" s="2"/>
      <c r="F5" s="3">
        <v>1004</v>
      </c>
      <c r="G5" s="2" t="s">
        <v>23</v>
      </c>
      <c r="H5" s="2" t="s">
        <v>24</v>
      </c>
      <c r="I5" s="2">
        <v>31</v>
      </c>
      <c r="J5" s="2" t="s">
        <v>15</v>
      </c>
      <c r="K5" s="2" t="s">
        <v>25</v>
      </c>
      <c r="L5" s="2">
        <v>47000</v>
      </c>
      <c r="M5" s="5">
        <v>36530</v>
      </c>
      <c r="N5" s="5">
        <v>42341</v>
      </c>
      <c r="O5" s="2" t="str">
        <v>Deborah Palmer</v>
      </c>
      <c r="P5" s="2" t="str">
        <v>deborahpalmer@gmail.com</v>
      </c>
    </row>
    <row r="6" customFormat="1" spans="1:16">
      <c r="A6" s="2"/>
      <c r="F6" s="3">
        <v>1005</v>
      </c>
      <c r="G6" s="2" t="s">
        <v>26</v>
      </c>
      <c r="H6" s="2" t="s">
        <v>27</v>
      </c>
      <c r="I6" s="2">
        <v>32</v>
      </c>
      <c r="J6" s="2" t="s">
        <v>19</v>
      </c>
      <c r="K6" s="2" t="s">
        <v>28</v>
      </c>
      <c r="L6" s="2">
        <v>50000</v>
      </c>
      <c r="M6" s="5">
        <v>37017</v>
      </c>
      <c r="N6" s="5">
        <v>42977</v>
      </c>
      <c r="O6" s="2" t="str">
        <v>Praise Cole</v>
      </c>
      <c r="P6" s="2" t="str">
        <v>praisecole@gmail.com</v>
      </c>
    </row>
    <row r="7" customFormat="1" spans="1:16">
      <c r="A7" s="2"/>
      <c r="F7" s="3">
        <v>1006</v>
      </c>
      <c r="G7" s="2" t="s">
        <v>29</v>
      </c>
      <c r="H7" s="2" t="s">
        <v>30</v>
      </c>
      <c r="I7" s="2">
        <v>35</v>
      </c>
      <c r="J7" s="2" t="s">
        <v>15</v>
      </c>
      <c r="K7" s="2" t="s">
        <v>31</v>
      </c>
      <c r="L7" s="2">
        <v>65000</v>
      </c>
      <c r="M7" s="5">
        <v>37017</v>
      </c>
      <c r="N7" s="5">
        <v>41528</v>
      </c>
      <c r="O7" s="2" t="str">
        <v>John Hudson</v>
      </c>
      <c r="P7" s="2" t="str">
        <v>johnhudson@gmail.com</v>
      </c>
    </row>
    <row r="8" customFormat="1" spans="1:16">
      <c r="A8" s="2"/>
      <c r="F8" s="3">
        <v>1007</v>
      </c>
      <c r="G8" s="2" t="s">
        <v>32</v>
      </c>
      <c r="H8" s="2" t="s">
        <v>33</v>
      </c>
      <c r="I8" s="2">
        <v>32</v>
      </c>
      <c r="J8" s="2" t="s">
        <v>19</v>
      </c>
      <c r="K8" s="2" t="s">
        <v>34</v>
      </c>
      <c r="L8" s="2">
        <v>41000</v>
      </c>
      <c r="M8" s="5">
        <v>37933</v>
      </c>
      <c r="N8" s="5">
        <v>41551</v>
      </c>
      <c r="O8" s="2" t="str">
        <v>Peace Beasley</v>
      </c>
      <c r="P8" s="2" t="str">
        <v>peacebeasley@gmail.com</v>
      </c>
    </row>
    <row r="9" customFormat="1" spans="1:16">
      <c r="A9" s="2"/>
      <c r="F9" s="3">
        <v>1008</v>
      </c>
      <c r="G9" s="2" t="s">
        <v>35</v>
      </c>
      <c r="H9" s="2" t="s">
        <v>36</v>
      </c>
      <c r="I9" s="2">
        <v>38</v>
      </c>
      <c r="J9" s="2" t="s">
        <v>15</v>
      </c>
      <c r="K9" s="2" t="s">
        <v>16</v>
      </c>
      <c r="L9" s="2">
        <v>48000</v>
      </c>
      <c r="M9" s="5">
        <v>37416</v>
      </c>
      <c r="N9" s="5">
        <v>42116</v>
      </c>
      <c r="O9" s="2" t="str">
        <v>Martins MAlone</v>
      </c>
      <c r="P9" s="2" t="str">
        <v>martinsmalone@gmail.com</v>
      </c>
    </row>
    <row r="10" customFormat="1" spans="1:16">
      <c r="A10" s="2"/>
      <c r="F10" s="3">
        <v>1009</v>
      </c>
      <c r="G10" s="2" t="s">
        <v>37</v>
      </c>
      <c r="H10" s="2" t="s">
        <v>38</v>
      </c>
      <c r="I10" s="2">
        <v>31</v>
      </c>
      <c r="J10" s="2" t="s">
        <v>15</v>
      </c>
      <c r="K10" s="2" t="s">
        <v>25</v>
      </c>
      <c r="L10" s="2">
        <v>42000</v>
      </c>
      <c r="M10" s="5">
        <v>37843</v>
      </c>
      <c r="N10" s="5">
        <v>40800</v>
      </c>
      <c r="O10" s="2" t="str">
        <v>Scott Halpert</v>
      </c>
      <c r="P10" s="2" t="str">
        <v>scotthalpert@gmail.com</v>
      </c>
    </row>
    <row r="11" customFormat="1" spans="7:16">
      <c r="G11" s="2"/>
      <c r="H11" s="2"/>
      <c r="J11" s="2"/>
      <c r="K11" s="2"/>
      <c r="L11" s="2"/>
      <c r="M11" s="2"/>
      <c r="N11" s="2"/>
      <c r="O11" s="2"/>
      <c r="P11" s="2"/>
    </row>
    <row r="17" customFormat="1" spans="3:3">
      <c r="C17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C1" workbookViewId="0">
      <selection activeCell="G10" sqref="$A1:$XFD1048576"/>
    </sheetView>
  </sheetViews>
  <sheetFormatPr defaultColWidth="9.14285714285714" defaultRowHeight="15" outlineLevelRow="3"/>
  <cols>
    <col min="1" max="1" width="13.8571428571429" style="2" customWidth="1"/>
    <col min="2" max="2" width="9.14285714285714" style="2"/>
    <col min="3" max="3" width="20.5714285714286" style="2" customWidth="1"/>
    <col min="4" max="4" width="9.14285714285714" style="2"/>
    <col min="5" max="5" width="13.8571428571429" style="1" customWidth="1"/>
    <col min="6" max="6" width="8.28571428571429" style="2" customWidth="1"/>
    <col min="7" max="7" width="9.42857142857143" style="2" customWidth="1"/>
    <col min="8" max="8" width="7.14285714285714" style="2" customWidth="1"/>
    <col min="9" max="9" width="5.85714285714286" style="2" customWidth="1"/>
    <col min="10" max="10" width="5.42857142857143" style="2" customWidth="1"/>
    <col min="11" max="11" width="5.71428571428571" style="2" customWidth="1"/>
    <col min="12" max="12" width="5" style="2" customWidth="1"/>
    <col min="13" max="13" width="7.71428571428571" style="2" customWidth="1"/>
    <col min="14" max="14" width="11.4285714285714" style="2" customWidth="1"/>
    <col min="15" max="15" width="8.71428571428571" style="2" customWidth="1"/>
    <col min="16" max="16" width="10.5714285714286" style="2" customWidth="1"/>
    <col min="17" max="17" width="10.8571428571429" style="2" customWidth="1"/>
    <col min="18" max="16384" width="9.14285714285714" style="2"/>
  </cols>
  <sheetData>
    <row r="1" s="1" customFormat="1" spans="1:17">
      <c r="A1" s="1" t="s">
        <v>45</v>
      </c>
      <c r="C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</row>
    <row r="2" spans="1:17">
      <c r="A2" s="2" t="s">
        <v>59</v>
      </c>
      <c r="C2" s="2" cm="1">
        <f t="array" ref="C2">_xlfn.XLOOKUP(G1,F1:Q1,F2:Q2)</f>
        <v>223</v>
      </c>
      <c r="E2" s="1" t="s">
        <v>59</v>
      </c>
      <c r="F2" s="2">
        <v>345</v>
      </c>
      <c r="G2" s="2">
        <v>223</v>
      </c>
      <c r="H2" s="2">
        <v>563</v>
      </c>
      <c r="I2" s="2">
        <v>233</v>
      </c>
      <c r="J2" s="2">
        <v>412</v>
      </c>
      <c r="K2" s="2">
        <v>500</v>
      </c>
      <c r="L2" s="2">
        <v>134</v>
      </c>
      <c r="M2" s="2">
        <v>167</v>
      </c>
      <c r="N2" s="2">
        <v>198</v>
      </c>
      <c r="O2" s="2">
        <v>322</v>
      </c>
      <c r="P2" s="2">
        <v>435</v>
      </c>
      <c r="Q2" s="2">
        <v>466</v>
      </c>
    </row>
    <row r="3" spans="1:17">
      <c r="A3" s="2" t="s">
        <v>60</v>
      </c>
      <c r="C3" s="2" cm="1">
        <f t="array" ref="C3">_xlfn.XLOOKUP(G2,F2:Q2,F3:Q3)</f>
        <v>22</v>
      </c>
      <c r="E3" s="1" t="s">
        <v>60</v>
      </c>
      <c r="F3" s="2">
        <v>44</v>
      </c>
      <c r="G3" s="2">
        <v>22</v>
      </c>
      <c r="H3" s="2">
        <v>75</v>
      </c>
      <c r="I3" s="2">
        <v>64</v>
      </c>
      <c r="J3" s="2">
        <v>76</v>
      </c>
      <c r="K3" s="2">
        <v>83</v>
      </c>
      <c r="L3" s="2">
        <v>89</v>
      </c>
      <c r="M3" s="2">
        <v>48</v>
      </c>
      <c r="N3" s="2">
        <v>89</v>
      </c>
      <c r="O3" s="2">
        <v>67</v>
      </c>
      <c r="P3" s="2">
        <v>35</v>
      </c>
      <c r="Q3" s="2">
        <v>45</v>
      </c>
    </row>
    <row r="4" spans="1:17">
      <c r="A4" s="2" t="s">
        <v>61</v>
      </c>
      <c r="C4" s="2" cm="1">
        <f t="array" ref="C4">_xlfn.XLOOKUP(G3,F3:Q3,F4:Q4)</f>
        <v>155</v>
      </c>
      <c r="E4" s="1" t="s">
        <v>61</v>
      </c>
      <c r="F4" s="2">
        <v>235</v>
      </c>
      <c r="G4" s="2">
        <v>155</v>
      </c>
      <c r="H4" s="2">
        <v>187</v>
      </c>
      <c r="I4" s="2">
        <v>167</v>
      </c>
      <c r="J4" s="2">
        <v>299</v>
      </c>
      <c r="K4" s="2">
        <v>256</v>
      </c>
      <c r="L4" s="2">
        <v>259</v>
      </c>
      <c r="M4" s="2">
        <v>260</v>
      </c>
      <c r="N4" s="2">
        <v>156</v>
      </c>
      <c r="O4" s="2">
        <v>177</v>
      </c>
      <c r="P4" s="2">
        <v>184</v>
      </c>
      <c r="Q4" s="2">
        <v>210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topLeftCell="H1" workbookViewId="0">
      <selection activeCell="E1" sqref="E1:Q4"/>
    </sheetView>
  </sheetViews>
  <sheetFormatPr defaultColWidth="9.14285714285714" defaultRowHeight="15"/>
  <cols>
    <col min="1" max="1" width="13.8571428571429" style="7" customWidth="1"/>
    <col min="2" max="2" width="9.14285714285714" style="7"/>
    <col min="3" max="3" width="20.5714285714286" style="7" customWidth="1"/>
    <col min="4" max="4" width="9.14285714285714" style="7"/>
    <col min="5" max="5" width="13.8571428571429" style="6" customWidth="1"/>
    <col min="6" max="6" width="8.28571428571429" style="7" customWidth="1"/>
    <col min="7" max="7" width="9.42857142857143" style="7" customWidth="1"/>
    <col min="8" max="8" width="7.14285714285714" style="7" customWidth="1"/>
    <col min="9" max="9" width="5.85714285714286" style="7" customWidth="1"/>
    <col min="10" max="10" width="5.42857142857143" style="7" customWidth="1"/>
    <col min="11" max="11" width="5.71428571428571" style="7" customWidth="1"/>
    <col min="12" max="12" width="5" style="7" customWidth="1"/>
    <col min="13" max="13" width="7.71428571428571" style="7" customWidth="1"/>
    <col min="14" max="14" width="11.4285714285714" style="7" customWidth="1"/>
    <col min="15" max="15" width="8.71428571428571" style="7" customWidth="1"/>
    <col min="16" max="16" width="10.5714285714286" style="7" customWidth="1"/>
    <col min="17" max="17" width="10.8571428571429" style="7" customWidth="1"/>
    <col min="18" max="16384" width="9.14285714285714" style="7"/>
  </cols>
  <sheetData>
    <row r="1" s="6" customFormat="1" ht="14.25" spans="1:17">
      <c r="A1" s="6" t="s">
        <v>45</v>
      </c>
      <c r="B1" s="6"/>
      <c r="C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</row>
    <row r="2" s="7" customFormat="1" spans="1:17">
      <c r="A2" s="7" t="s">
        <v>59</v>
      </c>
      <c r="C2" s="7" cm="1">
        <f t="array" ref="C2">_xlfn.XLOOKUP(G1,F1:Q1,F2:Q2)</f>
        <v>223</v>
      </c>
      <c r="E2" s="6" t="s">
        <v>59</v>
      </c>
      <c r="F2" s="7">
        <v>345</v>
      </c>
      <c r="G2" s="7">
        <v>223</v>
      </c>
      <c r="H2" s="7">
        <v>563</v>
      </c>
      <c r="I2" s="7">
        <v>233</v>
      </c>
      <c r="J2" s="7">
        <v>412</v>
      </c>
      <c r="K2" s="7">
        <v>500</v>
      </c>
      <c r="L2" s="7">
        <v>134</v>
      </c>
      <c r="M2" s="7">
        <v>167</v>
      </c>
      <c r="N2" s="7">
        <v>198</v>
      </c>
      <c r="O2" s="7">
        <v>322</v>
      </c>
      <c r="P2" s="7">
        <v>435</v>
      </c>
      <c r="Q2" s="7">
        <v>466</v>
      </c>
    </row>
    <row r="3" s="7" customFormat="1" spans="1:17">
      <c r="A3" s="7" t="s">
        <v>60</v>
      </c>
      <c r="B3" s="7"/>
      <c r="C3" s="7" cm="1">
        <f t="array" ref="C3">_xlfn.XLOOKUP(G2,F2:Q2,F3:Q3)</f>
        <v>22</v>
      </c>
      <c r="E3" s="6" t="s">
        <v>60</v>
      </c>
      <c r="F3" s="7">
        <v>44</v>
      </c>
      <c r="G3" s="7">
        <v>22</v>
      </c>
      <c r="H3" s="7">
        <v>75</v>
      </c>
      <c r="I3" s="7">
        <v>64</v>
      </c>
      <c r="J3" s="7">
        <v>76</v>
      </c>
      <c r="K3" s="7">
        <v>83</v>
      </c>
      <c r="L3" s="7">
        <v>89</v>
      </c>
      <c r="M3" s="7">
        <v>48</v>
      </c>
      <c r="N3" s="7">
        <v>89</v>
      </c>
      <c r="O3" s="7">
        <v>67</v>
      </c>
      <c r="P3" s="7">
        <v>35</v>
      </c>
      <c r="Q3" s="7">
        <v>45</v>
      </c>
    </row>
    <row r="4" s="7" customFormat="1" spans="1:17">
      <c r="A4" s="7" t="s">
        <v>61</v>
      </c>
      <c r="B4" s="7"/>
      <c r="C4" s="7" cm="1">
        <f t="array" ref="C4">_xlfn.XLOOKUP(G3,F3:Q3,F4:Q4)</f>
        <v>155</v>
      </c>
      <c r="E4" s="6" t="s">
        <v>61</v>
      </c>
      <c r="F4" s="7">
        <v>235</v>
      </c>
      <c r="G4" s="7">
        <v>155</v>
      </c>
      <c r="H4" s="7">
        <v>187</v>
      </c>
      <c r="I4" s="7">
        <v>167</v>
      </c>
      <c r="J4" s="7">
        <v>299</v>
      </c>
      <c r="K4" s="7">
        <v>256</v>
      </c>
      <c r="L4" s="7">
        <v>259</v>
      </c>
      <c r="M4" s="7">
        <v>260</v>
      </c>
      <c r="N4" s="7">
        <v>156</v>
      </c>
      <c r="O4" s="7">
        <v>177</v>
      </c>
      <c r="P4" s="7">
        <v>184</v>
      </c>
      <c r="Q4" s="7">
        <v>210</v>
      </c>
    </row>
    <row r="5" s="7" customFormat="1" spans="5:5">
      <c r="E5" s="6"/>
    </row>
    <row r="6" s="7" customFormat="1" spans="5:5">
      <c r="E6" s="6"/>
    </row>
    <row r="7" s="7" customFormat="1" spans="3:5">
      <c r="C7" s="6" t="s">
        <v>62</v>
      </c>
      <c r="E7" s="6"/>
    </row>
    <row r="8" s="7" customFormat="1" spans="1:5">
      <c r="A8" s="6" t="s">
        <v>59</v>
      </c>
      <c r="C8" s="7">
        <f ca="1">SUM(_xlfn.XLOOKUP(G1,F1:Q1,F2:Q2):_xlfn.XLOOKUP(H1,F1:Q1,F2:Q2))</f>
        <v>786</v>
      </c>
      <c r="E8" s="6"/>
    </row>
    <row r="9" s="7" customFormat="1" spans="1:5">
      <c r="A9" s="6" t="s">
        <v>60</v>
      </c>
      <c r="C9" s="7">
        <f ca="1">SUM(_xlfn.XLOOKUP(G1,F1:Q1,F3:Q3):_xlfn.XLOOKUP(H1,F1:Q1,F3:Q3))</f>
        <v>97</v>
      </c>
      <c r="E9" s="6"/>
    </row>
    <row r="10" s="7" customFormat="1" spans="1:5">
      <c r="A10" s="6" t="s">
        <v>61</v>
      </c>
      <c r="C10" s="7">
        <f ca="1">SUM(_xlfn.XLOOKUP(G1,F1:Q1,F4:Q4):_xlfn.XLOOKUP(H1,F1:Q1,F4:Q4))</f>
        <v>342</v>
      </c>
      <c r="E10" s="6"/>
    </row>
    <row r="11" s="7" customFormat="1" spans="1:5">
      <c r="A11" s="6" t="s">
        <v>63</v>
      </c>
      <c r="C11" s="8">
        <f ca="1">SUM(C8:C10)</f>
        <v>1225</v>
      </c>
      <c r="E11" s="6"/>
    </row>
    <row r="17" s="7" customFormat="1" spans="5:5">
      <c r="E17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C13" sqref="C13"/>
    </sheetView>
  </sheetViews>
  <sheetFormatPr defaultColWidth="9.14285714285714" defaultRowHeight="15"/>
  <cols>
    <col min="1" max="1" width="18" style="2" customWidth="1"/>
    <col min="2" max="2" width="29.8571428571429" style="2" customWidth="1"/>
    <col min="3" max="3" width="8.14285714285714" style="2" customWidth="1"/>
    <col min="4" max="5" width="9.14285714285714" style="2"/>
    <col min="6" max="6" width="13" style="2" customWidth="1"/>
    <col min="7" max="7" width="11.2857142857143" style="2" customWidth="1"/>
    <col min="8" max="8" width="10.8571428571429" style="2" customWidth="1"/>
    <col min="9" max="9" width="26.2857142857143" style="2" customWidth="1"/>
    <col min="10" max="10" width="5" style="2" customWidth="1"/>
    <col min="11" max="11" width="8.28571428571429" style="2" customWidth="1"/>
    <col min="12" max="12" width="18.7142857142857" style="2" customWidth="1"/>
    <col min="13" max="13" width="6.85714285714286" style="2" customWidth="1"/>
    <col min="14" max="14" width="10.2857142857143" style="2" customWidth="1"/>
    <col min="15" max="15" width="11.4285714285714" style="2" customWidth="1"/>
    <col min="16" max="16" width="29.8571428571429" style="2" customWidth="1"/>
    <col min="17" max="16384" width="9.14285714285714" style="2"/>
  </cols>
  <sheetData>
    <row r="1" s="1" customFormat="1" spans="1:16">
      <c r="A1" s="1" t="s">
        <v>0</v>
      </c>
      <c r="B1" s="1" t="s">
        <v>64</v>
      </c>
      <c r="F1" s="1" t="s">
        <v>2</v>
      </c>
      <c r="G1" s="1" t="s">
        <v>3</v>
      </c>
      <c r="H1" s="1" t="s">
        <v>4</v>
      </c>
      <c r="I1" s="1" t="s">
        <v>11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</row>
    <row r="2" spans="1:16">
      <c r="A2" s="2" t="str" cm="1">
        <f t="array" ref="A2:A10">CONCATENATE(G2:G10," ",H2:H10)</f>
        <v>Felix Parker</v>
      </c>
      <c r="B2" s="2" t="str">
        <f>VLOOKUP(A2,I2:P10,8,FALSE)</f>
        <v>felixparker@gmail.com</v>
      </c>
      <c r="F2" s="3">
        <v>1001</v>
      </c>
      <c r="G2" s="4" t="s">
        <v>13</v>
      </c>
      <c r="H2" s="2" t="s">
        <v>14</v>
      </c>
      <c r="I2" s="2" t="str" cm="1">
        <f t="array" ref="I2:I10">CONCATENATE(G2:G10," ",H2:H10)</f>
        <v>Felix Parker</v>
      </c>
      <c r="J2" s="2">
        <v>30</v>
      </c>
      <c r="K2" s="2" t="s">
        <v>15</v>
      </c>
      <c r="L2" s="2" t="s">
        <v>16</v>
      </c>
      <c r="M2" s="2">
        <v>45000</v>
      </c>
      <c r="N2" s="5">
        <v>37197</v>
      </c>
      <c r="O2" s="5">
        <v>42253</v>
      </c>
      <c r="P2" s="2" t="str" cm="1">
        <f t="array" ref="P2:P10">CONCATENATE(LOWER(G2:G10),"",LOWER(H2:H10),"@gmail.com")</f>
        <v>felixparker@gmail.com</v>
      </c>
    </row>
    <row r="3" s="2" customFormat="1" spans="1:16">
      <c r="A3" s="2" t="str">
        <v>Patience Williams</v>
      </c>
      <c r="B3" s="2" t="str">
        <f t="shared" ref="B3:B10" si="0">VLOOKUP(A3,I3:P11,8,FALSE)</f>
        <v>patiencewilliams@gmail.com</v>
      </c>
      <c r="F3" s="3">
        <v>1002</v>
      </c>
      <c r="G3" s="2" t="s">
        <v>17</v>
      </c>
      <c r="H3" s="2" t="s">
        <v>18</v>
      </c>
      <c r="I3" s="2" t="str">
        <v>Patience Williams</v>
      </c>
      <c r="J3" s="2">
        <v>30</v>
      </c>
      <c r="K3" s="2" t="s">
        <v>19</v>
      </c>
      <c r="L3" s="2" t="s">
        <v>20</v>
      </c>
      <c r="M3" s="2">
        <v>36000</v>
      </c>
      <c r="N3" s="5">
        <v>36436</v>
      </c>
      <c r="O3" s="5">
        <v>42287</v>
      </c>
      <c r="P3" s="2" t="str">
        <v>patiencewilliams@gmail.com</v>
      </c>
    </row>
    <row r="4" s="2" customFormat="1" spans="1:16">
      <c r="A4" s="2" t="str">
        <v>Amos Alfred</v>
      </c>
      <c r="B4" s="2" t="str">
        <f t="shared" si="0"/>
        <v>amosalfred@gmail.com</v>
      </c>
      <c r="F4" s="3">
        <v>1003</v>
      </c>
      <c r="G4" s="2" t="s">
        <v>21</v>
      </c>
      <c r="H4" s="2" t="s">
        <v>22</v>
      </c>
      <c r="I4" s="2" t="str">
        <v>Amos Alfred</v>
      </c>
      <c r="J4" s="2">
        <v>29</v>
      </c>
      <c r="K4" s="2" t="s">
        <v>15</v>
      </c>
      <c r="L4" s="2" t="s">
        <v>16</v>
      </c>
      <c r="M4" s="2">
        <v>63000</v>
      </c>
      <c r="N4" s="5">
        <v>36711</v>
      </c>
      <c r="O4" s="5">
        <v>42986</v>
      </c>
      <c r="P4" s="2" t="str">
        <v>amosalfred@gmail.com</v>
      </c>
    </row>
    <row r="5" s="2" customFormat="1" spans="1:16">
      <c r="A5" s="2" t="str">
        <v>Deborah Palmer</v>
      </c>
      <c r="B5" s="2" t="str">
        <f t="shared" si="0"/>
        <v>deborahpalmer@gmail.com</v>
      </c>
      <c r="F5" s="3">
        <v>1004</v>
      </c>
      <c r="G5" s="2" t="s">
        <v>23</v>
      </c>
      <c r="H5" s="2" t="s">
        <v>24</v>
      </c>
      <c r="I5" s="2" t="str">
        <v>Deborah Palmer</v>
      </c>
      <c r="J5" s="2">
        <v>31</v>
      </c>
      <c r="K5" s="2" t="s">
        <v>15</v>
      </c>
      <c r="L5" s="2" t="s">
        <v>25</v>
      </c>
      <c r="M5" s="2">
        <v>47000</v>
      </c>
      <c r="N5" s="5">
        <v>36530</v>
      </c>
      <c r="O5" s="5">
        <v>42341</v>
      </c>
      <c r="P5" s="2" t="str">
        <v>deborahpalmer@gmail.com</v>
      </c>
    </row>
    <row r="6" s="2" customFormat="1" spans="1:16">
      <c r="A6" s="2" t="str">
        <v>Praise Cole</v>
      </c>
      <c r="B6" s="2" t="str">
        <f t="shared" si="0"/>
        <v>praisecole@gmail.com</v>
      </c>
      <c r="F6" s="3">
        <v>1005</v>
      </c>
      <c r="G6" s="2" t="s">
        <v>26</v>
      </c>
      <c r="H6" s="2" t="s">
        <v>27</v>
      </c>
      <c r="I6" s="2" t="str">
        <v>Praise Cole</v>
      </c>
      <c r="J6" s="2">
        <v>32</v>
      </c>
      <c r="K6" s="2" t="s">
        <v>19</v>
      </c>
      <c r="L6" s="2" t="s">
        <v>28</v>
      </c>
      <c r="M6" s="2">
        <v>50000</v>
      </c>
      <c r="N6" s="5">
        <v>37017</v>
      </c>
      <c r="O6" s="5">
        <v>42977</v>
      </c>
      <c r="P6" s="2" t="str">
        <v>praisecole@gmail.com</v>
      </c>
    </row>
    <row r="7" s="2" customFormat="1" spans="1:16">
      <c r="A7" s="2" t="str">
        <v>John Hudson</v>
      </c>
      <c r="B7" s="2" t="str">
        <f t="shared" si="0"/>
        <v>johnhudson@gmail.com</v>
      </c>
      <c r="F7" s="3">
        <v>1006</v>
      </c>
      <c r="G7" s="2" t="s">
        <v>29</v>
      </c>
      <c r="H7" s="2" t="s">
        <v>30</v>
      </c>
      <c r="I7" s="2" t="str">
        <v>John Hudson</v>
      </c>
      <c r="J7" s="2">
        <v>35</v>
      </c>
      <c r="K7" s="2" t="s">
        <v>15</v>
      </c>
      <c r="L7" s="2" t="s">
        <v>31</v>
      </c>
      <c r="M7" s="2">
        <v>65000</v>
      </c>
      <c r="N7" s="5">
        <v>35040</v>
      </c>
      <c r="O7" s="5">
        <v>41528</v>
      </c>
      <c r="P7" s="2" t="str">
        <v>johnhudson@gmail.com</v>
      </c>
    </row>
    <row r="8" s="2" customFormat="1" spans="1:16">
      <c r="A8" s="2" t="str">
        <v>Peace Beasley</v>
      </c>
      <c r="B8" s="2" t="str">
        <f t="shared" si="0"/>
        <v>peacebeasley@gmail.com</v>
      </c>
      <c r="F8" s="3">
        <v>1007</v>
      </c>
      <c r="G8" s="2" t="s">
        <v>32</v>
      </c>
      <c r="H8" s="2" t="s">
        <v>33</v>
      </c>
      <c r="I8" s="2" t="str">
        <v>Peace Beasley</v>
      </c>
      <c r="J8" s="2">
        <v>32</v>
      </c>
      <c r="K8" s="2" t="s">
        <v>19</v>
      </c>
      <c r="L8" s="2" t="s">
        <v>34</v>
      </c>
      <c r="M8" s="2">
        <v>41000</v>
      </c>
      <c r="N8" s="5">
        <v>37933</v>
      </c>
      <c r="O8" s="5">
        <v>41551</v>
      </c>
      <c r="P8" s="2" t="str">
        <v>peacebeasley@gmail.com</v>
      </c>
    </row>
    <row r="9" s="2" customFormat="1" spans="1:16">
      <c r="A9" s="2" t="str">
        <v>Martins MAlone</v>
      </c>
      <c r="B9" s="2" t="str">
        <f t="shared" si="0"/>
        <v>martinsmalone@gmail.com</v>
      </c>
      <c r="F9" s="3">
        <v>1008</v>
      </c>
      <c r="G9" s="2" t="s">
        <v>35</v>
      </c>
      <c r="H9" s="2" t="s">
        <v>36</v>
      </c>
      <c r="I9" s="2" t="str">
        <v>Martins MAlone</v>
      </c>
      <c r="J9" s="2">
        <v>38</v>
      </c>
      <c r="K9" s="2" t="s">
        <v>15</v>
      </c>
      <c r="L9" s="2" t="s">
        <v>16</v>
      </c>
      <c r="M9" s="2">
        <v>48000</v>
      </c>
      <c r="N9" s="5">
        <v>37416</v>
      </c>
      <c r="O9" s="5">
        <v>42116</v>
      </c>
      <c r="P9" s="2" t="str">
        <v>martinsmalone@gmail.com</v>
      </c>
    </row>
    <row r="10" s="2" customFormat="1" spans="1:16">
      <c r="A10" s="2" t="str">
        <v>Scott Halpert</v>
      </c>
      <c r="B10" s="2" t="str">
        <f t="shared" si="0"/>
        <v>scotthalpert@gmail.com</v>
      </c>
      <c r="F10" s="3">
        <v>1009</v>
      </c>
      <c r="G10" s="2" t="s">
        <v>37</v>
      </c>
      <c r="H10" s="2" t="s">
        <v>38</v>
      </c>
      <c r="I10" s="2" t="str">
        <v>Scott Halpert</v>
      </c>
      <c r="J10" s="2">
        <v>31</v>
      </c>
      <c r="K10" s="2" t="s">
        <v>15</v>
      </c>
      <c r="L10" s="2" t="s">
        <v>25</v>
      </c>
      <c r="M10" s="2">
        <v>42000</v>
      </c>
      <c r="N10" s="5">
        <v>37843</v>
      </c>
      <c r="O10" s="5">
        <v>40800</v>
      </c>
      <c r="P10" s="2" t="str">
        <v>scotthalpert@gmail.com</v>
      </c>
    </row>
    <row r="17" s="2" customFormat="1" spans="3:3">
      <c r="C1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XLOOKUP</vt:lpstr>
      <vt:lpstr>XLOOKUP(Multiple Rows)</vt:lpstr>
      <vt:lpstr>XLOOKUP(Matching)</vt:lpstr>
      <vt:lpstr>XLOOKUP(Search Order) </vt:lpstr>
      <vt:lpstr>XLOOKU Horizontal</vt:lpstr>
      <vt:lpstr>XLOOKUP with sum</vt:lpstr>
      <vt:lpstr>VLOOKUP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Fagbohunka Vincent</dc:creator>
  <cp:lastModifiedBy>Fagbohunka Vincent</cp:lastModifiedBy>
  <dcterms:created xsi:type="dcterms:W3CDTF">2026-08-15T18:55:00Z</dcterms:created>
  <dcterms:modified xsi:type="dcterms:W3CDTF">2026-08-19T15:41:25Z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2DCAABFE5B4F45B2ACB018C54A0F75A5_11</vt:lpwstr>
  </property>
  <property fmtid="{D5CDD505-2E9C-101B-9397-08002B2CF9AE}" pid="3" name="KSOProductBuildVer">
    <vt:lpwstr>1033-12.2.0.23196</vt:lpwstr>
  </property>
</Properties>
</file>