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4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<sst xmlns="http://schemas.openxmlformats.org/spreadsheetml/2006/main" count="118" uniqueCount="84">
  <si>
    <t>Student_ID</t>
  </si>
  <si>
    <t>First_Name</t>
  </si>
  <si>
    <t>Last_Name</t>
  </si>
  <si>
    <t>First Name</t>
  </si>
  <si>
    <t>Last Name</t>
  </si>
  <si>
    <t>Full Name</t>
  </si>
  <si>
    <t>Course</t>
  </si>
  <si>
    <t>Score</t>
  </si>
  <si>
    <t>Grade</t>
  </si>
  <si>
    <t>Remark</t>
  </si>
  <si>
    <t>Join_Year</t>
  </si>
  <si>
    <t>Join_Month</t>
  </si>
  <si>
    <t>Join_Day</t>
  </si>
  <si>
    <t>Join_Date</t>
  </si>
  <si>
    <t>Coure &amp; Student</t>
  </si>
  <si>
    <t>Phone</t>
  </si>
  <si>
    <t>State</t>
  </si>
  <si>
    <t>Pjone_no Status</t>
  </si>
  <si>
    <t>ST001</t>
  </si>
  <si>
    <t xml:space="preserve"> John </t>
  </si>
  <si>
    <t>Doe</t>
  </si>
  <si>
    <t>Data Analysis</t>
  </si>
  <si>
    <t>Lagos</t>
  </si>
  <si>
    <t>ST002</t>
  </si>
  <si>
    <t>Mary</t>
  </si>
  <si>
    <t xml:space="preserve">  Smith </t>
  </si>
  <si>
    <t>Excel Basics</t>
  </si>
  <si>
    <t>Abuja</t>
  </si>
  <si>
    <t>ST003</t>
  </si>
  <si>
    <t>Peter</t>
  </si>
  <si>
    <t>Johnson</t>
  </si>
  <si>
    <t>SQL</t>
  </si>
  <si>
    <t>Kano</t>
  </si>
  <si>
    <t>ST004</t>
  </si>
  <si>
    <t>Linda</t>
  </si>
  <si>
    <t>Brown</t>
  </si>
  <si>
    <t>ST005</t>
  </si>
  <si>
    <t xml:space="preserve"> James </t>
  </si>
  <si>
    <t>Wilson</t>
  </si>
  <si>
    <t>Ibadan</t>
  </si>
  <si>
    <t>ST006</t>
  </si>
  <si>
    <t>Patricia</t>
  </si>
  <si>
    <t>Taylor</t>
  </si>
  <si>
    <t>ST007</t>
  </si>
  <si>
    <t>Robert</t>
  </si>
  <si>
    <t>Anderson</t>
  </si>
  <si>
    <t>ST008</t>
  </si>
  <si>
    <t>Jennifer</t>
  </si>
  <si>
    <t>Thomas</t>
  </si>
  <si>
    <t>ST009</t>
  </si>
  <si>
    <t>Michael</t>
  </si>
  <si>
    <t>Jackson</t>
  </si>
  <si>
    <t>ST010</t>
  </si>
  <si>
    <t>William</t>
  </si>
  <si>
    <t>White</t>
  </si>
  <si>
    <t>ST011</t>
  </si>
  <si>
    <t xml:space="preserve"> David </t>
  </si>
  <si>
    <t>Harris</t>
  </si>
  <si>
    <t>ST012</t>
  </si>
  <si>
    <t>Barbara</t>
  </si>
  <si>
    <t>Martin</t>
  </si>
  <si>
    <t>ST013</t>
  </si>
  <si>
    <t>Richard</t>
  </si>
  <si>
    <t>Thompson</t>
  </si>
  <si>
    <t>ST014</t>
  </si>
  <si>
    <t>Susan</t>
  </si>
  <si>
    <t>Garcia</t>
  </si>
  <si>
    <t>ST015</t>
  </si>
  <si>
    <t>Joseph</t>
  </si>
  <si>
    <t>Martinez</t>
  </si>
  <si>
    <t>ST016</t>
  </si>
  <si>
    <t>Jessica</t>
  </si>
  <si>
    <t>Robinson</t>
  </si>
  <si>
    <t>ST017</t>
  </si>
  <si>
    <t>Clark</t>
  </si>
  <si>
    <t>ST018</t>
  </si>
  <si>
    <t>Sarah</t>
  </si>
  <si>
    <t>Rodriguez</t>
  </si>
  <si>
    <t>ST019</t>
  </si>
  <si>
    <t>Charles</t>
  </si>
  <si>
    <t>Lewis</t>
  </si>
  <si>
    <t>ST020</t>
  </si>
  <si>
    <t>Karen</t>
  </si>
  <si>
    <t>Lee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</si>
</sst>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R2" sqref="R2"/>
    </sheetView>
  </sheetViews>
  <sheetFormatPr defaultColWidth="10" defaultRowHeight="14.25"/>
  <cols>
    <col min="4" max="4" width="9.5" customWidth="1"/>
    <col min="9" max="9" width="10" customWidth="1"/>
    <col min="15" max="15" width="18.25" customWidth="1"/>
    <col min="16" max="16" width="10.875" customWidth="1"/>
    <col min="18" max="18" width="14.375" customWidth="1"/>
    <col min="19" max="19" width="9.5" customWidth="1"/>
    <col min="20" max="20" width="14.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tr">
        <f>PROPER(TRIM(CLEAN(B2)))</f>
        <v>John</v>
      </c>
      <c r="E2" t="str">
        <f>PROPER(TRIM(CLEAN(C2)))</f>
        <v>Doe</v>
      </c>
      <c r="F2" t="str">
        <f>D2&amp;" "&amp;E2</f>
        <v>John Doe</v>
      </c>
      <c r="G2" t="s">
        <v>21</v>
      </c>
      <c r="H2">
        <v>78</v>
      </c>
      <c r="I2" t="str">
        <f>IF(H2&gt;=70,"A",IF(H2&gt;=60,"B",IF(H2&gt;=50,"C",IF(H2&gt;=45,"D",IF(H2&gt;=40,"E",IF(H2&lt;40,"F"))))))</f>
        <v>A</v>
      </c>
      <c r="J2" t="str">
        <f>IF(I2="A","Excellent",IF(I2="B","Very Good",IF(I2="C","Good",IF(I2="D","Below Average",IF(I2="E","Poor",IF(I2="F","Fail"))))))</f>
        <v>Excellent</v>
      </c>
      <c r="K2">
        <v>2023</v>
      </c>
      <c r="L2">
        <v>5</v>
      </c>
      <c r="M2">
        <v>12</v>
      </c>
      <c r="N2" s="1">
        <f>DATE(K2,L2,M2)</f>
        <v>45058</v>
      </c>
      <c r="O2" t="str">
        <f>A2&amp;"-"&amp;G2</f>
        <v>ST001-Data Analysis</v>
      </c>
      <c r="P2">
        <v>80123456</v>
      </c>
      <c r="Q2" t="s">
        <v>22</v>
      </c>
      <c r="R2" t="str">
        <f t="shared" ref="R2:R21" si="0">IF(LEN(Q2)=11,"Valid","Invalid")</f>
        <v>Invalid</v>
      </c>
    </row>
    <row r="3" spans="1:18">
      <c r="A3" t="s">
        <v>23</v>
      </c>
      <c r="B3" t="s">
        <v>24</v>
      </c>
      <c r="C3" t="s">
        <v>25</v>
      </c>
      <c r="D3" t="str">
        <f t="shared" ref="D3:D21" si="1">PROPER(TRIM(CLEAN(B3)))</f>
        <v>Mary</v>
      </c>
      <c r="E3" t="str">
        <f t="shared" ref="E3:E21" si="2">PROPER(TRIM(CLEAN(C3)))</f>
        <v>Smith</v>
      </c>
      <c r="G3" t="s">
        <v>26</v>
      </c>
      <c r="H3">
        <v>65</v>
      </c>
      <c r="I3" t="str">
        <f t="shared" ref="I3:I21" si="3">IF(H3&gt;=70,"A",IF(H3&gt;=60,"B",IF(H3&gt;=50,"C",IF(H3&gt;=45,"D",IF(H3&gt;=40,"E",IF(H3&lt;40,"F"))))))</f>
        <v>B</v>
      </c>
      <c r="J3" t="str">
        <f t="shared" ref="J3:J21" si="4">IF(I3="A","Excellent",IF(I3="B","Very Good",IF(I3="C","Good",IF(I3="D","Below Average",IF(I3="E","Poor",IF(I3="F","Fail"))))))</f>
        <v>Very Good</v>
      </c>
      <c r="K3">
        <v>2023</v>
      </c>
      <c r="L3">
        <v>6</v>
      </c>
      <c r="M3">
        <v>3</v>
      </c>
      <c r="N3" s="1">
        <f t="shared" ref="N3:N21" si="5">DATE(K3,L3,M3)</f>
        <v>45080</v>
      </c>
      <c r="O3" t="str">
        <f t="shared" ref="O3:O21" si="6">A3&amp;"-"&amp;G3</f>
        <v>ST002-Excel Basics</v>
      </c>
      <c r="P3">
        <v>81234567</v>
      </c>
      <c r="Q3" t="s">
        <v>27</v>
      </c>
      <c r="R3" t="str">
        <f t="shared" si="0"/>
        <v>Invalid</v>
      </c>
    </row>
    <row r="4" spans="1:18">
      <c r="A4" t="s">
        <v>28</v>
      </c>
      <c r="B4" t="s">
        <v>29</v>
      </c>
      <c r="C4" t="s">
        <v>30</v>
      </c>
      <c r="D4" t="str">
        <f t="shared" si="1"/>
        <v>Peter</v>
      </c>
      <c r="E4" t="str">
        <f t="shared" si="2"/>
        <v>Johnson</v>
      </c>
      <c r="F4" t="str">
        <f t="shared" ref="F3:F21" si="7">D4&amp;" "&amp;E4</f>
        <v>Peter Johnson</v>
      </c>
      <c r="G4" t="s">
        <v>31</v>
      </c>
      <c r="H4">
        <v>49</v>
      </c>
      <c r="I4" t="str">
        <f t="shared" si="3"/>
        <v>D</v>
      </c>
      <c r="J4" t="str">
        <f t="shared" si="4"/>
        <v>Below Average</v>
      </c>
      <c r="K4">
        <v>2023</v>
      </c>
      <c r="L4">
        <v>7</v>
      </c>
      <c r="M4">
        <v>21</v>
      </c>
      <c r="N4" s="1">
        <f t="shared" si="5"/>
        <v>45128</v>
      </c>
      <c r="O4" t="str">
        <f t="shared" si="6"/>
        <v>ST003-SQL</v>
      </c>
      <c r="P4">
        <v>8098764531</v>
      </c>
      <c r="Q4" t="s">
        <v>32</v>
      </c>
      <c r="R4" t="str">
        <f t="shared" si="0"/>
        <v>Invalid</v>
      </c>
    </row>
    <row r="5" spans="1:18">
      <c r="A5" t="s">
        <v>33</v>
      </c>
      <c r="B5" t="s">
        <v>34</v>
      </c>
      <c r="C5" t="s">
        <v>35</v>
      </c>
      <c r="D5" t="str">
        <f t="shared" si="1"/>
        <v>Linda</v>
      </c>
      <c r="E5" t="str">
        <f t="shared" si="2"/>
        <v>Brown</v>
      </c>
      <c r="F5" t="str">
        <f t="shared" si="7"/>
        <v>Linda Brown</v>
      </c>
      <c r="G5" t="s">
        <v>21</v>
      </c>
      <c r="H5">
        <v>85</v>
      </c>
      <c r="I5" t="str">
        <f t="shared" si="3"/>
        <v>A</v>
      </c>
      <c r="J5" t="str">
        <f t="shared" si="4"/>
        <v>Excellent</v>
      </c>
      <c r="K5">
        <v>2022</v>
      </c>
      <c r="L5">
        <v>11</v>
      </c>
      <c r="M5">
        <v>9</v>
      </c>
      <c r="N5" s="1">
        <f t="shared" si="5"/>
        <v>44874</v>
      </c>
      <c r="O5" t="str">
        <f t="shared" si="6"/>
        <v>ST004-Data Analysis</v>
      </c>
      <c r="P5">
        <v>8109949966</v>
      </c>
      <c r="Q5" t="s">
        <v>22</v>
      </c>
      <c r="R5" t="str">
        <f t="shared" si="0"/>
        <v>Invalid</v>
      </c>
    </row>
    <row r="6" spans="1:18">
      <c r="A6" t="s">
        <v>36</v>
      </c>
      <c r="B6" t="s">
        <v>37</v>
      </c>
      <c r="C6" t="s">
        <v>38</v>
      </c>
      <c r="D6" t="str">
        <f t="shared" si="1"/>
        <v>James</v>
      </c>
      <c r="E6" t="str">
        <f t="shared" si="2"/>
        <v>Wilson</v>
      </c>
      <c r="F6" t="str">
        <f t="shared" si="7"/>
        <v>James Wilson</v>
      </c>
      <c r="G6" t="s">
        <v>26</v>
      </c>
      <c r="H6">
        <v>33</v>
      </c>
      <c r="I6" t="str">
        <f t="shared" si="3"/>
        <v>F</v>
      </c>
      <c r="J6" t="str">
        <f t="shared" si="4"/>
        <v>Fail</v>
      </c>
      <c r="K6">
        <v>2023</v>
      </c>
      <c r="L6">
        <v>1</v>
      </c>
      <c r="M6">
        <v>15</v>
      </c>
      <c r="N6" s="1">
        <f t="shared" si="5"/>
        <v>44941</v>
      </c>
      <c r="O6" t="str">
        <f t="shared" si="6"/>
        <v>ST005-Excel Basics</v>
      </c>
      <c r="P6">
        <v>8011223344</v>
      </c>
      <c r="Q6" t="s">
        <v>39</v>
      </c>
      <c r="R6" t="str">
        <f t="shared" si="0"/>
        <v>Invalid</v>
      </c>
    </row>
    <row r="7" spans="1:18">
      <c r="A7" t="s">
        <v>40</v>
      </c>
      <c r="B7" t="s">
        <v>41</v>
      </c>
      <c r="C7" t="s">
        <v>42</v>
      </c>
      <c r="D7" t="str">
        <f t="shared" si="1"/>
        <v>Patricia</v>
      </c>
      <c r="E7" t="str">
        <f t="shared" si="2"/>
        <v>Taylor</v>
      </c>
      <c r="F7" t="str">
        <f t="shared" si="7"/>
        <v>Patricia Taylor</v>
      </c>
      <c r="G7" t="s">
        <v>31</v>
      </c>
      <c r="H7">
        <v>92</v>
      </c>
      <c r="I7" t="str">
        <f t="shared" si="3"/>
        <v>A</v>
      </c>
      <c r="J7" t="str">
        <f t="shared" si="4"/>
        <v>Excellent</v>
      </c>
      <c r="K7">
        <v>2022</v>
      </c>
      <c r="L7">
        <v>12</v>
      </c>
      <c r="M7">
        <v>1</v>
      </c>
      <c r="N7" s="1">
        <f t="shared" si="5"/>
        <v>44896</v>
      </c>
      <c r="O7" t="str">
        <f t="shared" si="6"/>
        <v>ST006-SQL</v>
      </c>
      <c r="P7">
        <v>8055667788</v>
      </c>
      <c r="Q7" t="s">
        <v>27</v>
      </c>
      <c r="R7" t="str">
        <f t="shared" si="0"/>
        <v>Invalid</v>
      </c>
    </row>
    <row r="8" spans="1:18">
      <c r="A8" t="s">
        <v>43</v>
      </c>
      <c r="B8" t="s">
        <v>44</v>
      </c>
      <c r="C8" t="s">
        <v>45</v>
      </c>
      <c r="D8" t="str">
        <f t="shared" si="1"/>
        <v>Robert</v>
      </c>
      <c r="E8" t="str">
        <f t="shared" si="2"/>
        <v>Anderson</v>
      </c>
      <c r="F8" t="str">
        <f t="shared" si="7"/>
        <v>Robert Anderson</v>
      </c>
      <c r="G8" t="s">
        <v>21</v>
      </c>
      <c r="H8">
        <v>55</v>
      </c>
      <c r="I8" t="str">
        <f t="shared" si="3"/>
        <v>C</v>
      </c>
      <c r="J8" t="str">
        <f t="shared" si="4"/>
        <v>Good</v>
      </c>
      <c r="K8">
        <v>2023</v>
      </c>
      <c r="L8">
        <v>3</v>
      </c>
      <c r="M8">
        <v>18</v>
      </c>
      <c r="N8" s="1">
        <f t="shared" si="5"/>
        <v>45003</v>
      </c>
      <c r="O8" t="str">
        <f t="shared" si="6"/>
        <v>ST007-Data Analysis</v>
      </c>
      <c r="P8">
        <v>8099887766</v>
      </c>
      <c r="Q8" t="s">
        <v>32</v>
      </c>
      <c r="R8" t="str">
        <f t="shared" si="0"/>
        <v>Invalid</v>
      </c>
    </row>
    <row r="9" spans="1:18">
      <c r="A9" t="s">
        <v>46</v>
      </c>
      <c r="B9" t="s">
        <v>47</v>
      </c>
      <c r="C9" t="s">
        <v>48</v>
      </c>
      <c r="D9" t="str">
        <f t="shared" si="1"/>
        <v>Jennifer</v>
      </c>
      <c r="E9" t="str">
        <f t="shared" si="2"/>
        <v>Thomas</v>
      </c>
      <c r="F9" t="str">
        <f t="shared" si="7"/>
        <v>Jennifer Thomas</v>
      </c>
      <c r="G9" t="s">
        <v>26</v>
      </c>
      <c r="H9">
        <v>44</v>
      </c>
      <c r="I9" t="str">
        <f t="shared" si="3"/>
        <v>E</v>
      </c>
      <c r="J9" t="str">
        <f t="shared" si="4"/>
        <v>Poor</v>
      </c>
      <c r="K9">
        <v>2023</v>
      </c>
      <c r="L9">
        <v>2</v>
      </c>
      <c r="M9">
        <v>25</v>
      </c>
      <c r="N9" s="1">
        <f t="shared" si="5"/>
        <v>44982</v>
      </c>
      <c r="O9" t="str">
        <f t="shared" si="6"/>
        <v>ST008-Excel Basics</v>
      </c>
      <c r="P9">
        <v>8022334455</v>
      </c>
      <c r="Q9" t="s">
        <v>22</v>
      </c>
      <c r="R9" t="str">
        <f t="shared" si="0"/>
        <v>Invalid</v>
      </c>
    </row>
    <row r="10" spans="1:18">
      <c r="A10" t="s">
        <v>49</v>
      </c>
      <c r="B10" t="s">
        <v>50</v>
      </c>
      <c r="C10" t="s">
        <v>51</v>
      </c>
      <c r="D10" t="str">
        <f t="shared" si="1"/>
        <v>Michael</v>
      </c>
      <c r="E10" t="str">
        <f t="shared" si="2"/>
        <v>Jackson</v>
      </c>
      <c r="F10" t="str">
        <f t="shared" si="7"/>
        <v>Michael Jackson</v>
      </c>
      <c r="G10" t="s">
        <v>31</v>
      </c>
      <c r="H10">
        <v>61</v>
      </c>
      <c r="I10" t="str">
        <f t="shared" si="3"/>
        <v>B</v>
      </c>
      <c r="J10" t="str">
        <f t="shared" si="4"/>
        <v>Very Good</v>
      </c>
      <c r="K10">
        <v>2023</v>
      </c>
      <c r="L10">
        <v>4</v>
      </c>
      <c r="M10">
        <v>30</v>
      </c>
      <c r="N10" s="1">
        <f t="shared" si="5"/>
        <v>45046</v>
      </c>
      <c r="O10" t="str">
        <f t="shared" si="6"/>
        <v>ST009-SQL</v>
      </c>
      <c r="P10">
        <v>8066778899</v>
      </c>
      <c r="Q10" t="s">
        <v>39</v>
      </c>
      <c r="R10" t="str">
        <f t="shared" si="0"/>
        <v>Invalid</v>
      </c>
    </row>
    <row r="11" spans="1:18">
      <c r="A11" t="s">
        <v>52</v>
      </c>
      <c r="B11" t="s">
        <v>53</v>
      </c>
      <c r="C11" t="s">
        <v>54</v>
      </c>
      <c r="D11" t="str">
        <f t="shared" si="1"/>
        <v>William</v>
      </c>
      <c r="E11" t="str">
        <f t="shared" si="2"/>
        <v>White</v>
      </c>
      <c r="F11" t="str">
        <f t="shared" si="7"/>
        <v>William White</v>
      </c>
      <c r="G11" t="s">
        <v>21</v>
      </c>
      <c r="H11">
        <v>73</v>
      </c>
      <c r="I11" t="str">
        <f t="shared" si="3"/>
        <v>A</v>
      </c>
      <c r="J11" t="str">
        <f t="shared" si="4"/>
        <v>Excellent</v>
      </c>
      <c r="K11">
        <v>2022</v>
      </c>
      <c r="L11">
        <v>10</v>
      </c>
      <c r="M11">
        <v>10</v>
      </c>
      <c r="N11" s="1">
        <f t="shared" si="5"/>
        <v>44844</v>
      </c>
      <c r="O11" t="str">
        <f t="shared" si="6"/>
        <v>ST010-Data Analysis</v>
      </c>
      <c r="P11">
        <v>8033445566</v>
      </c>
      <c r="Q11" t="s">
        <v>27</v>
      </c>
      <c r="R11" t="str">
        <f t="shared" si="0"/>
        <v>Invalid</v>
      </c>
    </row>
    <row r="12" spans="1:18">
      <c r="A12" t="s">
        <v>55</v>
      </c>
      <c r="B12" t="s">
        <v>56</v>
      </c>
      <c r="C12" t="s">
        <v>57</v>
      </c>
      <c r="D12" t="str">
        <f t="shared" si="1"/>
        <v>David</v>
      </c>
      <c r="E12" t="str">
        <f t="shared" si="2"/>
        <v>Harris</v>
      </c>
      <c r="F12" t="str">
        <f t="shared" si="7"/>
        <v>David Harris</v>
      </c>
      <c r="G12" t="s">
        <v>26</v>
      </c>
      <c r="H12">
        <v>58</v>
      </c>
      <c r="I12" t="str">
        <f t="shared" si="3"/>
        <v>C</v>
      </c>
      <c r="J12" t="str">
        <f t="shared" si="4"/>
        <v>Good</v>
      </c>
      <c r="K12">
        <v>2023</v>
      </c>
      <c r="L12">
        <v>8</v>
      </c>
      <c r="M12">
        <v>14</v>
      </c>
      <c r="N12" s="1">
        <f t="shared" si="5"/>
        <v>45152</v>
      </c>
      <c r="O12" t="str">
        <f t="shared" si="6"/>
        <v>ST011-Excel Basics</v>
      </c>
      <c r="P12">
        <v>8044556677</v>
      </c>
      <c r="Q12" t="s">
        <v>22</v>
      </c>
      <c r="R12" t="str">
        <f t="shared" si="0"/>
        <v>Invalid</v>
      </c>
    </row>
    <row r="13" spans="1:18">
      <c r="A13" t="s">
        <v>58</v>
      </c>
      <c r="B13" t="s">
        <v>59</v>
      </c>
      <c r="C13" t="s">
        <v>60</v>
      </c>
      <c r="D13" t="str">
        <f t="shared" si="1"/>
        <v>Barbara</v>
      </c>
      <c r="E13" t="str">
        <f t="shared" si="2"/>
        <v>Martin</v>
      </c>
      <c r="F13" t="str">
        <f t="shared" si="7"/>
        <v>Barbara Martin</v>
      </c>
      <c r="G13" t="s">
        <v>31</v>
      </c>
      <c r="H13">
        <v>47</v>
      </c>
      <c r="I13" t="str">
        <f t="shared" si="3"/>
        <v>D</v>
      </c>
      <c r="J13" t="str">
        <f t="shared" si="4"/>
        <v>Below Average</v>
      </c>
      <c r="K13">
        <v>2023</v>
      </c>
      <c r="L13">
        <v>9</v>
      </c>
      <c r="M13">
        <v>5</v>
      </c>
      <c r="N13" s="1">
        <f t="shared" si="5"/>
        <v>45174</v>
      </c>
      <c r="O13" t="str">
        <f t="shared" si="6"/>
        <v>ST012-SQL</v>
      </c>
      <c r="P13">
        <v>8055667799</v>
      </c>
      <c r="Q13" t="s">
        <v>32</v>
      </c>
      <c r="R13" t="str">
        <f t="shared" si="0"/>
        <v>Invalid</v>
      </c>
    </row>
    <row r="14" spans="1:18">
      <c r="A14" t="s">
        <v>61</v>
      </c>
      <c r="B14" t="s">
        <v>62</v>
      </c>
      <c r="C14" t="s">
        <v>63</v>
      </c>
      <c r="D14" t="str">
        <f t="shared" si="1"/>
        <v>Richard</v>
      </c>
      <c r="E14" t="str">
        <f t="shared" si="2"/>
        <v>Thompson</v>
      </c>
      <c r="F14" t="str">
        <f t="shared" si="7"/>
        <v>Richard Thompson</v>
      </c>
      <c r="G14" t="s">
        <v>21</v>
      </c>
      <c r="H14">
        <v>81</v>
      </c>
      <c r="I14" t="str">
        <f t="shared" si="3"/>
        <v>A</v>
      </c>
      <c r="J14" t="str">
        <f t="shared" si="4"/>
        <v>Excellent</v>
      </c>
      <c r="K14">
        <v>2022</v>
      </c>
      <c r="L14">
        <v>6</v>
      </c>
      <c r="M14">
        <v>22</v>
      </c>
      <c r="N14" s="1">
        <f t="shared" si="5"/>
        <v>44734</v>
      </c>
      <c r="O14" t="str">
        <f t="shared" si="6"/>
        <v>ST013-Data Analysis</v>
      </c>
      <c r="P14">
        <v>8066779900</v>
      </c>
      <c r="Q14" t="s">
        <v>39</v>
      </c>
      <c r="R14" t="str">
        <f t="shared" si="0"/>
        <v>Invalid</v>
      </c>
    </row>
    <row r="15" spans="1:18">
      <c r="A15" t="s">
        <v>64</v>
      </c>
      <c r="B15" t="s">
        <v>65</v>
      </c>
      <c r="C15" t="s">
        <v>66</v>
      </c>
      <c r="D15" t="str">
        <f t="shared" si="1"/>
        <v>Susan</v>
      </c>
      <c r="E15" t="str">
        <f t="shared" si="2"/>
        <v>Garcia</v>
      </c>
      <c r="F15" t="str">
        <f t="shared" si="7"/>
        <v>Susan Garcia</v>
      </c>
      <c r="G15" t="s">
        <v>26</v>
      </c>
      <c r="H15">
        <v>69</v>
      </c>
      <c r="I15" t="str">
        <f t="shared" si="3"/>
        <v>B</v>
      </c>
      <c r="J15" t="str">
        <f t="shared" si="4"/>
        <v>Very Good</v>
      </c>
      <c r="K15">
        <v>2023</v>
      </c>
      <c r="L15">
        <v>7</v>
      </c>
      <c r="M15">
        <v>7</v>
      </c>
      <c r="N15" s="1">
        <f t="shared" si="5"/>
        <v>45114</v>
      </c>
      <c r="O15" t="str">
        <f t="shared" si="6"/>
        <v>ST014-Excel Basics</v>
      </c>
      <c r="P15">
        <v>8077889911</v>
      </c>
      <c r="Q15" t="s">
        <v>27</v>
      </c>
      <c r="R15" t="str">
        <f t="shared" si="0"/>
        <v>Invalid</v>
      </c>
    </row>
    <row r="16" spans="1:18">
      <c r="A16" t="s">
        <v>67</v>
      </c>
      <c r="B16" t="s">
        <v>68</v>
      </c>
      <c r="C16" t="s">
        <v>69</v>
      </c>
      <c r="D16" t="str">
        <f t="shared" si="1"/>
        <v>Joseph</v>
      </c>
      <c r="E16" t="str">
        <f t="shared" si="2"/>
        <v>Martinez</v>
      </c>
      <c r="F16" t="str">
        <f t="shared" si="7"/>
        <v>Joseph Martinez</v>
      </c>
      <c r="G16" t="s">
        <v>31</v>
      </c>
      <c r="H16">
        <v>36</v>
      </c>
      <c r="I16" t="str">
        <f t="shared" si="3"/>
        <v>F</v>
      </c>
      <c r="J16" t="str">
        <f t="shared" si="4"/>
        <v>Fail</v>
      </c>
      <c r="K16">
        <v>2023</v>
      </c>
      <c r="L16">
        <v>1</v>
      </c>
      <c r="M16">
        <v>29</v>
      </c>
      <c r="N16" s="1">
        <f t="shared" si="5"/>
        <v>44955</v>
      </c>
      <c r="O16" t="str">
        <f t="shared" si="6"/>
        <v>ST015-SQL</v>
      </c>
      <c r="P16">
        <v>8088990022</v>
      </c>
      <c r="Q16" t="s">
        <v>22</v>
      </c>
      <c r="R16" t="str">
        <f t="shared" si="0"/>
        <v>Invalid</v>
      </c>
    </row>
    <row r="17" spans="1:18">
      <c r="A17" t="s">
        <v>70</v>
      </c>
      <c r="B17" t="s">
        <v>71</v>
      </c>
      <c r="C17" t="s">
        <v>72</v>
      </c>
      <c r="D17" t="str">
        <f t="shared" si="1"/>
        <v>Jessica</v>
      </c>
      <c r="E17" t="str">
        <f t="shared" si="2"/>
        <v>Robinson</v>
      </c>
      <c r="F17" t="str">
        <f t="shared" si="7"/>
        <v>Jessica Robinson</v>
      </c>
      <c r="G17" t="s">
        <v>21</v>
      </c>
      <c r="H17">
        <v>90</v>
      </c>
      <c r="I17" t="str">
        <f t="shared" si="3"/>
        <v>A</v>
      </c>
      <c r="J17" t="str">
        <f t="shared" si="4"/>
        <v>Excellent</v>
      </c>
      <c r="K17">
        <v>2022</v>
      </c>
      <c r="L17">
        <v>5</v>
      </c>
      <c r="M17">
        <v>16</v>
      </c>
      <c r="N17" s="1">
        <f t="shared" si="5"/>
        <v>44697</v>
      </c>
      <c r="O17" t="str">
        <f t="shared" si="6"/>
        <v>ST016-Data Analysis</v>
      </c>
      <c r="P17">
        <v>8099001133</v>
      </c>
      <c r="Q17" t="s">
        <v>32</v>
      </c>
      <c r="R17" t="str">
        <f t="shared" si="0"/>
        <v>Invalid</v>
      </c>
    </row>
    <row r="18" spans="1:18">
      <c r="A18" t="s">
        <v>73</v>
      </c>
      <c r="B18" t="s">
        <v>48</v>
      </c>
      <c r="C18" t="s">
        <v>74</v>
      </c>
      <c r="D18" t="str">
        <f t="shared" si="1"/>
        <v>Thomas</v>
      </c>
      <c r="E18" t="str">
        <f t="shared" si="2"/>
        <v>Clark</v>
      </c>
      <c r="F18" t="str">
        <f t="shared" si="7"/>
        <v>Thomas Clark</v>
      </c>
      <c r="G18" t="s">
        <v>26</v>
      </c>
      <c r="H18">
        <v>52</v>
      </c>
      <c r="I18" t="str">
        <f t="shared" si="3"/>
        <v>C</v>
      </c>
      <c r="J18" t="str">
        <f t="shared" si="4"/>
        <v>Good</v>
      </c>
      <c r="K18">
        <v>2023</v>
      </c>
      <c r="L18">
        <v>2</v>
      </c>
      <c r="M18">
        <v>8</v>
      </c>
      <c r="N18" s="1">
        <f t="shared" si="5"/>
        <v>44965</v>
      </c>
      <c r="O18" t="str">
        <f t="shared" si="6"/>
        <v>ST017-Excel Basics</v>
      </c>
      <c r="P18">
        <v>8010111223</v>
      </c>
      <c r="Q18" t="s">
        <v>39</v>
      </c>
      <c r="R18" t="str">
        <f t="shared" si="0"/>
        <v>Invalid</v>
      </c>
    </row>
    <row r="19" spans="1:18">
      <c r="A19" t="s">
        <v>75</v>
      </c>
      <c r="B19" t="s">
        <v>76</v>
      </c>
      <c r="C19" t="s">
        <v>77</v>
      </c>
      <c r="D19" t="str">
        <f t="shared" si="1"/>
        <v>Sarah</v>
      </c>
      <c r="E19" t="str">
        <f t="shared" si="2"/>
        <v>Rodriguez</v>
      </c>
      <c r="F19" t="str">
        <f t="shared" si="7"/>
        <v>Sarah Rodriguez</v>
      </c>
      <c r="G19" t="s">
        <v>31</v>
      </c>
      <c r="H19">
        <v>66</v>
      </c>
      <c r="I19" t="str">
        <f t="shared" si="3"/>
        <v>B</v>
      </c>
      <c r="J19" t="str">
        <f t="shared" si="4"/>
        <v>Very Good</v>
      </c>
      <c r="K19">
        <v>2023</v>
      </c>
      <c r="L19">
        <v>4</v>
      </c>
      <c r="M19">
        <v>19</v>
      </c>
      <c r="N19" s="1">
        <f t="shared" si="5"/>
        <v>45035</v>
      </c>
      <c r="O19" t="str">
        <f t="shared" si="6"/>
        <v>ST018-SQL</v>
      </c>
      <c r="P19">
        <v>8020212223</v>
      </c>
      <c r="Q19" t="s">
        <v>22</v>
      </c>
      <c r="R19" t="str">
        <f t="shared" si="0"/>
        <v>Invalid</v>
      </c>
    </row>
    <row r="20" spans="1:18">
      <c r="A20" t="s">
        <v>78</v>
      </c>
      <c r="B20" t="s">
        <v>79</v>
      </c>
      <c r="C20" t="s">
        <v>80</v>
      </c>
      <c r="D20" t="str">
        <f t="shared" si="1"/>
        <v>Charles</v>
      </c>
      <c r="E20" t="str">
        <f t="shared" si="2"/>
        <v>Lewis</v>
      </c>
      <c r="F20" t="str">
        <f t="shared" si="7"/>
        <v>Charles Lewis</v>
      </c>
      <c r="G20" t="s">
        <v>21</v>
      </c>
      <c r="H20">
        <v>40</v>
      </c>
      <c r="I20" t="str">
        <f t="shared" si="3"/>
        <v>E</v>
      </c>
      <c r="J20" t="str">
        <f t="shared" si="4"/>
        <v>Poor</v>
      </c>
      <c r="K20">
        <v>2023</v>
      </c>
      <c r="L20">
        <v>3</v>
      </c>
      <c r="M20">
        <v>11</v>
      </c>
      <c r="N20" s="1">
        <f t="shared" si="5"/>
        <v>44996</v>
      </c>
      <c r="O20" t="str">
        <f t="shared" si="6"/>
        <v>ST019-Data Analysis</v>
      </c>
      <c r="P20">
        <v>8030313233</v>
      </c>
      <c r="Q20" t="s">
        <v>27</v>
      </c>
      <c r="R20" t="str">
        <f t="shared" si="0"/>
        <v>Invalid</v>
      </c>
    </row>
    <row r="21" spans="1:18">
      <c r="A21" t="s">
        <v>81</v>
      </c>
      <c r="B21" t="s">
        <v>82</v>
      </c>
      <c r="C21" t="s">
        <v>83</v>
      </c>
      <c r="D21" t="str">
        <f t="shared" si="1"/>
        <v>Karen</v>
      </c>
      <c r="E21" t="str">
        <f t="shared" si="2"/>
        <v>Lee</v>
      </c>
      <c r="F21" t="str">
        <f t="shared" si="7"/>
        <v>Karen Lee</v>
      </c>
      <c r="G21" t="s">
        <v>26</v>
      </c>
      <c r="H21">
        <v>77</v>
      </c>
      <c r="I21" t="str">
        <f t="shared" si="3"/>
        <v>A</v>
      </c>
      <c r="J21" t="str">
        <f t="shared" si="4"/>
        <v>Excellent</v>
      </c>
      <c r="K21">
        <v>2022</v>
      </c>
      <c r="L21">
        <v>9</v>
      </c>
      <c r="M21">
        <v>27</v>
      </c>
      <c r="N21" s="1">
        <f t="shared" si="5"/>
        <v>44831</v>
      </c>
      <c r="O21" t="str">
        <f t="shared" si="6"/>
        <v>ST020-Excel Basics</v>
      </c>
      <c r="P21">
        <v>8040414243</v>
      </c>
      <c r="Q21" t="s">
        <v>32</v>
      </c>
      <c r="R21" t="str">
        <f t="shared" si="0"/>
        <v>Invalid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SM-G935F</dc:creator>
  <cp:lastModifiedBy>Fagbohunka Vincent</cp:lastModifiedBy>
  <dcterms:created xsi:type="dcterms:W3CDTF">2026-05-15T10:49:00Z</dcterms:created>
  <dcterms:modified xsi:type="dcterms:W3CDTF">2026-06-08T22:15:27Z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401d373eb048460f82e1919c23f6f171</vt:lpwstr>
  </property>
  <property fmtid="{D5CDD505-2E9C-101B-9397-08002B2CF9AE}" pid="3" name="KSOProductBuildVer">
    <vt:lpwstr>1033-12.2.0.23196</vt:lpwstr>
  </property>
</Properties>
</file>